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sumen" sheetId="2" state="visible" r:id="rId2"/>
    <sheet name="VLANs" sheetId="3" state="visible" r:id="rId3"/>
    <sheet name="FSW_124F_Dist" sheetId="4" state="visible" r:id="rId4"/>
    <sheet name="FSW_624F_IBC_A" sheetId="5" state="visible" r:id="rId5"/>
    <sheet name="FSW_624F_IBC_B" sheetId="6" state="visible" r:id="rId6"/>
  </sheets>
  <definedNames>
    <definedName name="_xlnm.Print_Titles" localSheetId="3">'FSW_124F_Dist'!$15:$15</definedName>
    <definedName name="_xlnm.Print_Titles" localSheetId="4">'FSW_624F_IBC_A'!$15:$15</definedName>
    <definedName name="_xlnm.Print_Titles" localSheetId="5">'FSW_624F_IBC_B'!$15:$15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8899BB"/>
      <sz val="10"/>
    </font>
    <font>
      <name val="Arial"/>
      <b val="1"/>
      <color rgb="00FFFFFF"/>
      <sz val="11"/>
    </font>
    <font>
      <name val="Arial"/>
      <b val="1"/>
      <color rgb="001A1F2E"/>
      <sz val="10"/>
    </font>
    <font>
      <name val="Arial"/>
      <color rgb="00000000"/>
      <sz val="10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b val="1"/>
      <color rgb="00185FA5"/>
      <sz val="10"/>
    </font>
    <font>
      <name val="Arial"/>
      <color rgb="00555555"/>
      <sz val="10"/>
    </font>
    <font>
      <name val="Arial"/>
      <b val="1"/>
      <color rgb="00639922"/>
      <sz val="10"/>
    </font>
    <font>
      <name val="Arial"/>
      <b val="1"/>
      <color rgb="00BA7517"/>
      <sz val="10"/>
    </font>
    <font>
      <name val="Arial"/>
      <b val="1"/>
      <color rgb="000F6E56"/>
      <sz val="10"/>
    </font>
    <font>
      <name val="Arial"/>
      <b val="1"/>
      <color rgb="00A32D2D"/>
      <sz val="10"/>
    </font>
    <font>
      <name val="Arial"/>
      <b val="1"/>
      <color rgb="00888780"/>
      <sz val="10"/>
    </font>
    <font>
      <name val="Arial"/>
      <b val="1"/>
      <color rgb="005F5E5A"/>
      <sz val="10"/>
    </font>
    <font>
      <name val="Arial"/>
      <b val="1"/>
      <color rgb="00FFFFFF"/>
      <sz val="14"/>
    </font>
    <font>
      <name val="Arial"/>
      <b val="1"/>
      <color rgb="00555555"/>
      <sz val="9"/>
    </font>
    <font>
      <name val="Arial"/>
      <color rgb="001A1F2E"/>
      <sz val="10"/>
    </font>
    <font>
      <name val="Arial"/>
      <b val="1"/>
      <color rgb="00FFFFFF"/>
      <sz val="9"/>
    </font>
    <font>
      <name val="Courier New"/>
      <color rgb="001A1F2E"/>
      <sz val="10"/>
    </font>
    <font>
      <name val="Arial"/>
      <color rgb="00166534"/>
      <sz val="10"/>
    </font>
    <font>
      <name val="Arial"/>
      <color rgb="00AAAAAA"/>
      <sz val="10"/>
    </font>
    <font>
      <name val="Arial"/>
      <color rgb="006B7280"/>
      <sz val="10"/>
    </font>
    <font>
      <name val="Arial"/>
      <color rgb="00475569"/>
      <sz val="10"/>
    </font>
    <font>
      <name val="Arial"/>
      <color rgb="0092400E"/>
      <sz val="10"/>
    </font>
    <font>
      <name val="Arial"/>
      <b val="1"/>
      <color rgb="00000000"/>
      <sz val="10"/>
    </font>
  </fonts>
  <fills count="19">
    <fill>
      <patternFill/>
    </fill>
    <fill>
      <patternFill patternType="gray125"/>
    </fill>
    <fill>
      <patternFill patternType="solid">
        <fgColor rgb="001A1F2E"/>
      </patternFill>
    </fill>
    <fill>
      <patternFill patternType="solid">
        <fgColor rgb="00EEF1F8"/>
      </patternFill>
    </fill>
    <fill>
      <patternFill patternType="solid">
        <fgColor rgb="00F7F8FA"/>
      </patternFill>
    </fill>
    <fill>
      <patternFill patternType="solid">
        <fgColor rgb="00185FA5"/>
      </patternFill>
    </fill>
    <fill>
      <patternFill patternType="solid">
        <fgColor rgb="000F6E56"/>
      </patternFill>
    </fill>
    <fill>
      <patternFill patternType="solid">
        <fgColor rgb="00A32D2D"/>
      </patternFill>
    </fill>
    <fill>
      <patternFill patternType="solid">
        <fgColor rgb="00FFFFFF"/>
      </patternFill>
    </fill>
    <fill>
      <patternFill patternType="solid">
        <fgColor rgb="00639922"/>
      </patternFill>
    </fill>
    <fill>
      <patternFill patternType="solid">
        <fgColor rgb="00BA7517"/>
      </patternFill>
    </fill>
    <fill>
      <patternFill patternType="solid">
        <fgColor rgb="00888780"/>
      </patternFill>
    </fill>
    <fill>
      <patternFill patternType="solid">
        <fgColor rgb="005F5E5A"/>
      </patternFill>
    </fill>
    <fill>
      <patternFill patternType="solid">
        <fgColor rgb="002D3250"/>
      </patternFill>
    </fill>
    <fill>
      <patternFill patternType="solid">
        <fgColor rgb="00E8EAF0"/>
      </patternFill>
    </fill>
    <fill>
      <patternFill patternType="solid">
        <fgColor rgb="00DCFCE7"/>
      </patternFill>
    </fill>
    <fill>
      <patternFill patternType="solid">
        <fgColor rgb="00F3F4F6"/>
      </patternFill>
    </fill>
    <fill>
      <patternFill patternType="solid">
        <fgColor rgb="00F1F5F9"/>
      </patternFill>
    </fill>
    <fill>
      <patternFill patternType="solid">
        <fgColor rgb="00FEF3C7"/>
      </patternFill>
    </fill>
  </fills>
  <borders count="6">
    <border>
      <left/>
      <right/>
      <top/>
      <bottom/>
      <diagonal/>
    </border>
    <border>
      <left style="thin">
        <color rgb="00D0D3DC"/>
      </left>
      <right style="thin">
        <color rgb="00D0D3DC"/>
      </right>
      <top style="thin">
        <color rgb="00D0D3DC"/>
      </top>
      <bottom style="thin">
        <color rgb="00D0D3DC"/>
      </bottom>
    </border>
    <border>
      <left/>
      <right/>
      <top style="thin">
        <color rgb="00D0D3DC"/>
      </top>
      <bottom/>
      <diagonal/>
    </border>
    <border>
      <left/>
      <right style="thin">
        <color rgb="00D0D3DC"/>
      </right>
      <top style="thin">
        <color rgb="00D0D3DC"/>
      </top>
      <bottom/>
      <diagonal/>
    </border>
    <border>
      <left/>
      <right/>
      <top style="thin">
        <color rgb="00D0D3DC"/>
      </top>
      <bottom style="thin">
        <color rgb="00D0D3DC"/>
      </bottom>
      <diagonal/>
    </border>
    <border>
      <left/>
      <right style="thin">
        <color rgb="00D0D3DC"/>
      </right>
      <top style="thin">
        <color rgb="00D0D3DC"/>
      </top>
      <bottom style="thin">
        <color rgb="00D0D3DC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3" fillId="5" borderId="0" applyAlignment="1" pivotButton="0" quotePrefix="0" xfId="0">
      <alignment horizontal="left" vertical="center" indent="1"/>
    </xf>
    <xf numFmtId="0" fontId="3" fillId="6" borderId="0" applyAlignment="1" pivotButton="0" quotePrefix="0" xfId="0">
      <alignment horizontal="left" vertical="center" indent="1"/>
    </xf>
    <xf numFmtId="0" fontId="3" fillId="7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26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19" fillId="11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16" borderId="1" applyAlignment="1" pivotButton="0" quotePrefix="0" xfId="0">
      <alignment horizontal="center" vertical="center" wrapText="1"/>
    </xf>
    <xf numFmtId="0" fontId="24" fillId="17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5" fillId="18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</cols>
  <sheetData>
    <row r="1" ht="1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4" customHeight="1">
      <c r="A2" s="1" t="n"/>
      <c r="B2" s="2" t="inlineStr">
        <is>
          <t>JSJ 2026 — Visualizador de Switches · Guía de Uso</t>
        </is>
      </c>
      <c r="K2" s="1" t="n"/>
    </row>
    <row r="3" ht="14" customHeight="1">
      <c r="A3" s="1" t="n"/>
      <c r="K3" s="1" t="n"/>
    </row>
    <row r="4" ht="14" customHeight="1">
      <c r="A4" s="1" t="n"/>
      <c r="K4" s="1" t="n"/>
    </row>
    <row r="5" ht="14" customHeight="1">
      <c r="A5" s="1" t="n"/>
      <c r="B5" s="3" t="inlineStr">
        <is>
          <t>FortiSwitch Network Management · IBC Venues · v1.0 · 2026-04-07</t>
        </is>
      </c>
      <c r="K5" s="1" t="n"/>
    </row>
    <row r="6" ht="12" customHeight="1"/>
    <row r="7" ht="20" customHeight="1">
      <c r="B7" s="4" t="inlineStr">
        <is>
          <t>📋 ESTRUCTURA DEL ARCHIVO</t>
        </is>
      </c>
    </row>
    <row r="8" ht="28" customHeight="1">
      <c r="B8" s="5" t="inlineStr">
        <is>
          <t>Hoja Resumen</t>
        </is>
      </c>
      <c r="C8" s="6" t="inlineStr">
        <is>
          <t>Vista consolidada de todos los switches, estadísticas por VLAN y estado.</t>
        </is>
      </c>
      <c r="D8" s="7" t="n"/>
      <c r="E8" s="7" t="n"/>
      <c r="F8" s="7" t="n"/>
      <c r="G8" s="7" t="n"/>
      <c r="H8" s="7" t="n"/>
      <c r="I8" s="7" t="n"/>
      <c r="J8" s="8" t="n"/>
    </row>
    <row r="9" ht="28" customHeight="1">
      <c r="B9" s="5" t="inlineStr">
        <is>
          <t>FSW_124F_Dist</t>
        </is>
      </c>
      <c r="C9" s="6" t="inlineStr">
        <is>
          <t>Datos de puertos del FortiSwitch 124F (Distribución) — 24 puertos.</t>
        </is>
      </c>
      <c r="D9" s="7" t="n"/>
      <c r="E9" s="7" t="n"/>
      <c r="F9" s="7" t="n"/>
      <c r="G9" s="7" t="n"/>
      <c r="H9" s="7" t="n"/>
      <c r="I9" s="7" t="n"/>
      <c r="J9" s="8" t="n"/>
    </row>
    <row r="10" ht="28" customHeight="1">
      <c r="B10" s="5" t="inlineStr">
        <is>
          <t>FSW_624F_IBC_A</t>
        </is>
      </c>
      <c r="C10" s="6" t="inlineStr">
        <is>
          <t>Datos de puertos del FortiSwitch 624F IBC A — 24 puertos.</t>
        </is>
      </c>
      <c r="D10" s="7" t="n"/>
      <c r="E10" s="7" t="n"/>
      <c r="F10" s="7" t="n"/>
      <c r="G10" s="7" t="n"/>
      <c r="H10" s="7" t="n"/>
      <c r="I10" s="7" t="n"/>
      <c r="J10" s="8" t="n"/>
    </row>
    <row r="11" ht="28" customHeight="1">
      <c r="B11" s="5" t="inlineStr">
        <is>
          <t>FSW_624F_IBC_B</t>
        </is>
      </c>
      <c r="C11" s="6" t="inlineStr">
        <is>
          <t>Datos de puertos del FortiSwitch 624F IBC B — 24 puertos.</t>
        </is>
      </c>
      <c r="D11" s="7" t="n"/>
      <c r="E11" s="7" t="n"/>
      <c r="F11" s="7" t="n"/>
      <c r="G11" s="7" t="n"/>
      <c r="H11" s="7" t="n"/>
      <c r="I11" s="7" t="n"/>
      <c r="J11" s="8" t="n"/>
    </row>
    <row r="12" ht="28" customHeight="1">
      <c r="B12" s="5" t="inlineStr">
        <is>
          <t>VLANs</t>
        </is>
      </c>
      <c r="C12" s="6" t="inlineStr">
        <is>
          <t>Catálogo de VLANs con colores, descripciones y conteos automáticos.</t>
        </is>
      </c>
      <c r="D12" s="7" t="n"/>
      <c r="E12" s="7" t="n"/>
      <c r="F12" s="7" t="n"/>
      <c r="G12" s="7" t="n"/>
      <c r="H12" s="7" t="n"/>
      <c r="I12" s="7" t="n"/>
      <c r="J12" s="8" t="n"/>
    </row>
    <row r="14" ht="20" customHeight="1">
      <c r="B14" s="9" t="inlineStr">
        <is>
          <t>✏️ CÓMO EDITAR DATOS</t>
        </is>
      </c>
    </row>
    <row r="15" ht="28" customHeight="1">
      <c r="B15" s="5" t="inlineStr">
        <is>
          <t>Columna Puerto</t>
        </is>
      </c>
      <c r="C15" s="6" t="inlineStr">
        <is>
          <t>No modificar. Identificador fijo: P01–P24.</t>
        </is>
      </c>
      <c r="D15" s="7" t="n"/>
      <c r="E15" s="7" t="n"/>
      <c r="F15" s="7" t="n"/>
      <c r="G15" s="7" t="n"/>
      <c r="H15" s="7" t="n"/>
      <c r="I15" s="7" t="n"/>
      <c r="J15" s="8" t="n"/>
    </row>
    <row r="16" ht="28" customHeight="1">
      <c r="B16" s="5" t="inlineStr">
        <is>
          <t>Columna Cable</t>
        </is>
      </c>
      <c r="C16" s="6" t="inlineStr">
        <is>
          <t>Escribe el código de cable (ej: PT13, KI08) o deja vacío.</t>
        </is>
      </c>
      <c r="D16" s="7" t="n"/>
      <c r="E16" s="7" t="n"/>
      <c r="F16" s="7" t="n"/>
      <c r="G16" s="7" t="n"/>
      <c r="H16" s="7" t="n"/>
      <c r="I16" s="7" t="n"/>
      <c r="J16" s="8" t="n"/>
    </row>
    <row r="17" ht="28" customHeight="1">
      <c r="B17" s="5" t="inlineStr">
        <is>
          <t>Columna VLAN</t>
        </is>
      </c>
      <c r="C17" s="6" t="inlineStr">
        <is>
          <t>Usa el desplegable de validación para elegir una VLAN válida.</t>
        </is>
      </c>
      <c r="D17" s="7" t="n"/>
      <c r="E17" s="7" t="n"/>
      <c r="F17" s="7" t="n"/>
      <c r="G17" s="7" t="n"/>
      <c r="H17" s="7" t="n"/>
      <c r="I17" s="7" t="n"/>
      <c r="J17" s="8" t="n"/>
    </row>
    <row r="18" ht="28" customHeight="1">
      <c r="B18" s="5" t="inlineStr">
        <is>
          <t>Columna Estado</t>
        </is>
      </c>
      <c r="C18" s="6" t="inlineStr">
        <is>
          <t>Usa el desplegable: activo · vacio · desasignado · reservado.</t>
        </is>
      </c>
      <c r="D18" s="7" t="n"/>
      <c r="E18" s="7" t="n"/>
      <c r="F18" s="7" t="n"/>
      <c r="G18" s="7" t="n"/>
      <c r="H18" s="7" t="n"/>
      <c r="I18" s="7" t="n"/>
      <c r="J18" s="8" t="n"/>
    </row>
    <row r="19" ht="28" customHeight="1">
      <c r="B19" s="5" t="inlineStr">
        <is>
          <t>Columna Dispositivo</t>
        </is>
      </c>
      <c r="C19" s="6" t="inlineStr">
        <is>
          <t>Opcional. Nombre o descripción del equipo conectado.</t>
        </is>
      </c>
      <c r="D19" s="7" t="n"/>
      <c r="E19" s="7" t="n"/>
      <c r="F19" s="7" t="n"/>
      <c r="G19" s="7" t="n"/>
      <c r="H19" s="7" t="n"/>
      <c r="I19" s="7" t="n"/>
      <c r="J19" s="8" t="n"/>
    </row>
    <row r="20" ht="28" customHeight="1">
      <c r="B20" s="5" t="inlineStr">
        <is>
          <t>Columna Notas</t>
        </is>
      </c>
      <c r="C20" s="6" t="inlineStr">
        <is>
          <t>Campo libre para observaciones adicionales del técnico.</t>
        </is>
      </c>
      <c r="D20" s="7" t="n"/>
      <c r="E20" s="7" t="n"/>
      <c r="F20" s="7" t="n"/>
      <c r="G20" s="7" t="n"/>
      <c r="H20" s="7" t="n"/>
      <c r="I20" s="7" t="n"/>
      <c r="J20" s="8" t="n"/>
    </row>
    <row r="22" ht="20" customHeight="1">
      <c r="B22" s="10" t="inlineStr">
        <is>
          <t>☁️ FLUJO ONEDRIVE → VISUALIZADOR</t>
        </is>
      </c>
    </row>
    <row r="23" ht="28" customHeight="1">
      <c r="B23" s="5" t="inlineStr">
        <is>
          <t>1. Editar en OneDrive</t>
        </is>
      </c>
      <c r="C23" s="6" t="inlineStr">
        <is>
          <t>Abre este archivo desde OneDrive en Excel Web o Excel Desktop.</t>
        </is>
      </c>
      <c r="D23" s="7" t="n"/>
      <c r="E23" s="7" t="n"/>
      <c r="F23" s="7" t="n"/>
      <c r="G23" s="7" t="n"/>
      <c r="H23" s="7" t="n"/>
      <c r="I23" s="7" t="n"/>
      <c r="J23" s="8" t="n"/>
    </row>
    <row r="24" ht="28" customHeight="1">
      <c r="B24" s="5" t="inlineStr">
        <is>
          <t>2. Actualizar datos</t>
        </is>
      </c>
      <c r="C24" s="6" t="inlineStr">
        <is>
          <t>Modifica cables, VLANs y estados según la instalación real.</t>
        </is>
      </c>
      <c r="D24" s="7" t="n"/>
      <c r="E24" s="7" t="n"/>
      <c r="F24" s="7" t="n"/>
      <c r="G24" s="7" t="n"/>
      <c r="H24" s="7" t="n"/>
      <c r="I24" s="7" t="n"/>
      <c r="J24" s="8" t="n"/>
    </row>
    <row r="25" ht="28" customHeight="1">
      <c r="B25" s="5" t="inlineStr">
        <is>
          <t>3. Descargar / Guardar</t>
        </is>
      </c>
      <c r="C25" s="6" t="inlineStr">
        <is>
          <t>Guarda como .xlsx (sin cambiar nombre ni estructura de hojas).</t>
        </is>
      </c>
      <c r="D25" s="7" t="n"/>
      <c r="E25" s="7" t="n"/>
      <c r="F25" s="7" t="n"/>
      <c r="G25" s="7" t="n"/>
      <c r="H25" s="7" t="n"/>
      <c r="I25" s="7" t="n"/>
      <c r="J25" s="8" t="n"/>
    </row>
    <row r="26" ht="28" customHeight="1">
      <c r="B26" s="5" t="inlineStr">
        <is>
          <t>4. Importar al visualizador</t>
        </is>
      </c>
      <c r="C26" s="6" t="inlineStr">
        <is>
          <t>En la app web (jsj2026-switches.html) usa el botón '📂 Importar Excel'.</t>
        </is>
      </c>
      <c r="D26" s="7" t="n"/>
      <c r="E26" s="7" t="n"/>
      <c r="F26" s="7" t="n"/>
      <c r="G26" s="7" t="n"/>
      <c r="H26" s="7" t="n"/>
      <c r="I26" s="7" t="n"/>
      <c r="J26" s="8" t="n"/>
    </row>
    <row r="27" ht="28" customHeight="1">
      <c r="B27" s="5" t="inlineStr">
        <is>
          <t>5. Verificar cambios</t>
        </is>
      </c>
      <c r="C27" s="6" t="inlineStr">
        <is>
          <t>El visualizador leerá automáticamente las hojas de switches.</t>
        </is>
      </c>
      <c r="D27" s="7" t="n"/>
      <c r="E27" s="7" t="n"/>
      <c r="F27" s="7" t="n"/>
      <c r="G27" s="7" t="n"/>
      <c r="H27" s="7" t="n"/>
      <c r="I27" s="7" t="n"/>
      <c r="J27" s="8" t="n"/>
    </row>
    <row r="29" ht="20" customHeight="1">
      <c r="B29" s="11" t="inlineStr">
        <is>
          <t>⚠️ REGLAS IMPORTANTES</t>
        </is>
      </c>
    </row>
    <row r="30" ht="28" customHeight="1">
      <c r="B30" s="5" t="inlineStr">
        <is>
          <t>No renombrar hojas</t>
        </is>
      </c>
      <c r="C30" s="6" t="inlineStr">
        <is>
          <t>Los nombres FSW_124F_Dist, FSW_624F_IBC_A, FSW_624F_IBC_B son fijos.</t>
        </is>
      </c>
      <c r="D30" s="7" t="n"/>
      <c r="E30" s="7" t="n"/>
      <c r="F30" s="7" t="n"/>
      <c r="G30" s="7" t="n"/>
      <c r="H30" s="7" t="n"/>
      <c r="I30" s="7" t="n"/>
      <c r="J30" s="8" t="n"/>
    </row>
    <row r="31" ht="28" customHeight="1">
      <c r="B31" s="5" t="inlineStr">
        <is>
          <t>No mover columnas</t>
        </is>
      </c>
      <c r="C31" s="6" t="inlineStr">
        <is>
          <t>El orden A–H debe mantenerse para que el parser funcione correctamente.</t>
        </is>
      </c>
      <c r="D31" s="7" t="n"/>
      <c r="E31" s="7" t="n"/>
      <c r="F31" s="7" t="n"/>
      <c r="G31" s="7" t="n"/>
      <c r="H31" s="7" t="n"/>
      <c r="I31" s="7" t="n"/>
      <c r="J31" s="8" t="n"/>
    </row>
    <row r="32" ht="28" customHeight="1">
      <c r="B32" s="5" t="inlineStr">
        <is>
          <t>No borrar fila 1</t>
        </is>
      </c>
      <c r="C32" s="6" t="inlineStr">
        <is>
          <t>La fila de encabezados es requerida por el sistema de importación.</t>
        </is>
      </c>
      <c r="D32" s="7" t="n"/>
      <c r="E32" s="7" t="n"/>
      <c r="F32" s="7" t="n"/>
      <c r="G32" s="7" t="n"/>
      <c r="H32" s="7" t="n"/>
      <c r="I32" s="7" t="n"/>
      <c r="J32" s="8" t="n"/>
    </row>
    <row r="33" ht="28" customHeight="1">
      <c r="B33" s="5" t="inlineStr">
        <is>
          <t>VLANs válidas</t>
        </is>
      </c>
      <c r="C33" s="6" t="inlineStr">
        <is>
          <t>Usar solo las VLANs del catálogo (hoja VLANs). Respetar mayúsculas.</t>
        </is>
      </c>
      <c r="D33" s="7" t="n"/>
      <c r="E33" s="7" t="n"/>
      <c r="F33" s="7" t="n"/>
      <c r="G33" s="7" t="n"/>
      <c r="H33" s="7" t="n"/>
      <c r="I33" s="7" t="n"/>
      <c r="J33" s="8" t="n"/>
    </row>
    <row r="34" ht="28" customHeight="1">
      <c r="B34" s="5" t="inlineStr">
        <is>
          <t>Guardar como .xlsx</t>
        </is>
      </c>
      <c r="C34" s="6" t="inlineStr">
        <is>
          <t>No guardar como .xls ni .csv. El visualizador requiere formato .xlsx.</t>
        </is>
      </c>
      <c r="D34" s="7" t="n"/>
      <c r="E34" s="7" t="n"/>
      <c r="F34" s="7" t="n"/>
      <c r="G34" s="7" t="n"/>
      <c r="H34" s="7" t="n"/>
      <c r="I34" s="7" t="n"/>
      <c r="J34" s="8" t="n"/>
    </row>
  </sheetData>
  <mergeCells count="27">
    <mergeCell ref="C34:J34"/>
    <mergeCell ref="B2:J4"/>
    <mergeCell ref="C30:J30"/>
    <mergeCell ref="C15:J15"/>
    <mergeCell ref="C33:J33"/>
    <mergeCell ref="B14:J14"/>
    <mergeCell ref="C24:J24"/>
    <mergeCell ref="B29:J29"/>
    <mergeCell ref="C26:J26"/>
    <mergeCell ref="C20:J20"/>
    <mergeCell ref="C25:J25"/>
    <mergeCell ref="C10:J10"/>
    <mergeCell ref="C16:J16"/>
    <mergeCell ref="C31:J31"/>
    <mergeCell ref="C9:J9"/>
    <mergeCell ref="C12:J12"/>
    <mergeCell ref="B5:J5"/>
    <mergeCell ref="C11:J11"/>
    <mergeCell ref="C27:J27"/>
    <mergeCell ref="C23:J23"/>
    <mergeCell ref="C8:J8"/>
    <mergeCell ref="B7:J7"/>
    <mergeCell ref="C17:J17"/>
    <mergeCell ref="B22:J22"/>
    <mergeCell ref="C32:J32"/>
    <mergeCell ref="C19:J19"/>
    <mergeCell ref="C18:J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0" customWidth="1" min="9" max="9"/>
  </cols>
  <sheetData>
    <row r="1" ht="13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3" customHeight="1">
      <c r="A2" s="1" t="n"/>
      <c r="B2" s="12" t="inlineStr">
        <is>
          <t>Resumen General — JSJ 2026 Switch Configuration</t>
        </is>
      </c>
      <c r="J2" s="1" t="n"/>
      <c r="K2" s="1" t="n"/>
    </row>
    <row r="3" ht="13" customHeight="1">
      <c r="A3" s="1" t="n"/>
      <c r="J3" s="1" t="n"/>
      <c r="K3" s="1" t="n"/>
    </row>
    <row r="4" ht="13" customHeight="1">
      <c r="A4" s="1" t="n"/>
      <c r="B4" s="3" t="inlineStr">
        <is>
          <t>Estadísticas consolidadas de los 3 switches · IBC Venues · 2026-04-07</t>
        </is>
      </c>
      <c r="J4" s="1" t="n"/>
      <c r="K4" s="1" t="n"/>
    </row>
    <row r="5" ht="13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12" customHeight="1"/>
    <row r="7" ht="22" customHeight="1">
      <c r="B7" s="13" t="inlineStr">
        <is>
          <t>Switch</t>
        </is>
      </c>
      <c r="C7" s="13" t="inlineStr">
        <is>
          <t>Modelo</t>
        </is>
      </c>
      <c r="D7" s="13" t="inlineStr">
        <is>
          <t>IP Gestión</t>
        </is>
      </c>
      <c r="E7" s="13" t="inlineStr">
        <is>
          <t>Activos</t>
        </is>
      </c>
      <c r="F7" s="13" t="inlineStr">
        <is>
          <t>Vacíos</t>
        </is>
      </c>
      <c r="G7" s="13" t="inlineStr">
        <is>
          <t>Desasig.</t>
        </is>
      </c>
      <c r="H7" s="13" t="inlineStr">
        <is>
          <t>Reserv.</t>
        </is>
      </c>
      <c r="I7" s="13" t="inlineStr">
        <is>
          <t>Total</t>
        </is>
      </c>
      <c r="J7" s="13" t="inlineStr">
        <is>
          <t>Ubicación</t>
        </is>
      </c>
    </row>
    <row r="8" ht="20" customHeight="1">
      <c r="B8" s="14" t="inlineStr">
        <is>
          <t>FortiSwitch 124F</t>
        </is>
      </c>
      <c r="C8" s="15" t="inlineStr">
        <is>
          <t>FortiSwitch 124F</t>
        </is>
      </c>
      <c r="D8" s="15" t="inlineStr">
        <is>
          <t>10.0.1.100</t>
        </is>
      </c>
      <c r="E8" s="16" t="n">
        <v>19</v>
      </c>
      <c r="F8" s="16" t="n">
        <v>2</v>
      </c>
      <c r="G8" s="16" t="n">
        <v>3</v>
      </c>
      <c r="H8" s="16" t="n">
        <v>0</v>
      </c>
      <c r="I8" s="16" t="n">
        <v>24</v>
      </c>
      <c r="J8" s="16" t="inlineStr">
        <is>
          <t>Venue Principal (IBC) — Distribución</t>
        </is>
      </c>
    </row>
    <row r="9" ht="20" customHeight="1">
      <c r="B9" s="17" t="inlineStr">
        <is>
          <t>FortiSwitch 624F IBC A</t>
        </is>
      </c>
      <c r="C9" s="18" t="inlineStr">
        <is>
          <t>FortiSwitch 624F</t>
        </is>
      </c>
      <c r="D9" s="18" t="inlineStr">
        <is>
          <t>10.0.2.100</t>
        </is>
      </c>
      <c r="E9" s="19" t="n">
        <v>18</v>
      </c>
      <c r="F9" s="19" t="n">
        <v>4</v>
      </c>
      <c r="G9" s="19" t="n">
        <v>0</v>
      </c>
      <c r="H9" s="19" t="n">
        <v>2</v>
      </c>
      <c r="I9" s="19" t="n">
        <v>24</v>
      </c>
      <c r="J9" s="19" t="inlineStr">
        <is>
          <t>IBC — Centro de Control A</t>
        </is>
      </c>
    </row>
    <row r="10" ht="20" customHeight="1">
      <c r="B10" s="14" t="inlineStr">
        <is>
          <t>FortiSwitch 624F IBC B</t>
        </is>
      </c>
      <c r="C10" s="15" t="inlineStr">
        <is>
          <t>FortiSwitch 624F</t>
        </is>
      </c>
      <c r="D10" s="15" t="inlineStr">
        <is>
          <t>10.0.3.100</t>
        </is>
      </c>
      <c r="E10" s="16" t="n">
        <v>10</v>
      </c>
      <c r="F10" s="16" t="n">
        <v>12</v>
      </c>
      <c r="G10" s="16" t="n">
        <v>0</v>
      </c>
      <c r="H10" s="16" t="n">
        <v>2</v>
      </c>
      <c r="I10" s="16" t="n">
        <v>24</v>
      </c>
      <c r="J10" s="16" t="inlineStr">
        <is>
          <t>IBC — Centro de Control B</t>
        </is>
      </c>
    </row>
    <row r="11" ht="22" customHeight="1">
      <c r="B11" s="20" t="inlineStr">
        <is>
          <t>TOTALES</t>
        </is>
      </c>
      <c r="C11" s="7" t="n"/>
      <c r="D11" s="8" t="n"/>
      <c r="E11" s="20" t="n">
        <v>47</v>
      </c>
      <c r="F11" s="20" t="n">
        <v>18</v>
      </c>
      <c r="G11" s="20" t="n">
        <v>3</v>
      </c>
      <c r="H11" s="20" t="n">
        <v>4</v>
      </c>
      <c r="I11" s="20" t="n">
        <v>72</v>
      </c>
    </row>
    <row r="13" ht="12" customHeight="1"/>
    <row r="14">
      <c r="B14" s="21" t="inlineStr">
        <is>
          <t>Distribución por VLAN (todos los switches)</t>
        </is>
      </c>
    </row>
    <row r="15" ht="20" customHeight="1">
      <c r="B15" s="22" t="inlineStr">
        <is>
          <t>VLAN</t>
        </is>
      </c>
      <c r="C15" s="22" t="inlineStr">
        <is>
          <t>Descripción</t>
        </is>
      </c>
      <c r="D15" s="22" t="inlineStr">
        <is>
          <t>FSW 124F</t>
        </is>
      </c>
      <c r="E15" s="22" t="inlineStr">
        <is>
          <t>624F IBC A</t>
        </is>
      </c>
      <c r="F15" s="22" t="inlineStr">
        <is>
          <t>624F IBC B</t>
        </is>
      </c>
      <c r="G15" s="22" t="inlineStr">
        <is>
          <t>Total</t>
        </is>
      </c>
      <c r="H15" s="22" t="inlineStr">
        <is>
          <t>Prioridad</t>
        </is>
      </c>
      <c r="I15" s="22" t="inlineStr">
        <is>
          <t>Color</t>
        </is>
      </c>
    </row>
    <row r="16" ht="20" customHeight="1">
      <c r="B16" s="23" t="inlineStr">
        <is>
          <t>BROADCAST</t>
        </is>
      </c>
      <c r="C16" s="15" t="inlineStr">
        <is>
          <t>Broadcast / Difusión</t>
        </is>
      </c>
      <c r="D16" s="16" t="n">
        <v>5</v>
      </c>
      <c r="E16" s="16" t="n">
        <v>5</v>
      </c>
      <c r="F16" s="16" t="n">
        <v>4</v>
      </c>
      <c r="G16" s="16" t="n">
        <v>14</v>
      </c>
      <c r="H16" s="16" t="inlineStr">
        <is>
          <t>Normal</t>
        </is>
      </c>
      <c r="J16" s="24" t="inlineStr">
        <is>
          <t>BCAST</t>
        </is>
      </c>
    </row>
    <row r="17" ht="20" customHeight="1">
      <c r="B17" s="25" t="inlineStr">
        <is>
          <t>GMS</t>
        </is>
      </c>
      <c r="C17" s="18" t="inlineStr">
        <is>
          <t>Gestión General</t>
        </is>
      </c>
      <c r="D17" s="19" t="n">
        <v>6</v>
      </c>
      <c r="E17" s="19" t="n">
        <v>8</v>
      </c>
      <c r="F17" s="19" t="n">
        <v>3</v>
      </c>
      <c r="G17" s="19" t="n">
        <v>17</v>
      </c>
      <c r="H17" s="19" t="inlineStr">
        <is>
          <t>Alta</t>
        </is>
      </c>
      <c r="J17" s="26" t="inlineStr">
        <is>
          <t>GMS</t>
        </is>
      </c>
    </row>
    <row r="18" ht="20" customHeight="1">
      <c r="B18" s="27" t="inlineStr">
        <is>
          <t>GMS2</t>
        </is>
      </c>
      <c r="C18" s="15" t="inlineStr">
        <is>
          <t>Gestión Secundaria</t>
        </is>
      </c>
      <c r="D18" s="16" t="n">
        <v>8</v>
      </c>
      <c r="E18" s="16" t="n">
        <v>6</v>
      </c>
      <c r="F18" s="16" t="n">
        <v>3</v>
      </c>
      <c r="G18" s="16" t="n">
        <v>17</v>
      </c>
      <c r="H18" s="16" t="inlineStr">
        <is>
          <t>Alta</t>
        </is>
      </c>
      <c r="J18" s="28" t="inlineStr">
        <is>
          <t>GMS2</t>
        </is>
      </c>
    </row>
    <row r="19" ht="20" customHeight="1">
      <c r="B19" s="29" t="inlineStr">
        <is>
          <t>ACCESS POINT</t>
        </is>
      </c>
      <c r="C19" s="18" t="inlineStr">
        <is>
          <t>Red Inalámbrica (AP)</t>
        </is>
      </c>
      <c r="D19" s="19" t="n">
        <v>0</v>
      </c>
      <c r="E19" s="19" t="n">
        <v>0</v>
      </c>
      <c r="F19" s="19" t="n">
        <v>2</v>
      </c>
      <c r="G19" s="19" t="n">
        <v>2</v>
      </c>
      <c r="H19" s="19" t="inlineStr">
        <is>
          <t>Normal</t>
        </is>
      </c>
      <c r="J19" s="30" t="inlineStr">
        <is>
          <t>AP</t>
        </is>
      </c>
    </row>
    <row r="20" ht="20" customHeight="1">
      <c r="B20" s="31" t="inlineStr">
        <is>
          <t>SERVER MONITOREO</t>
        </is>
      </c>
      <c r="C20" s="15" t="inlineStr">
        <is>
          <t>Servidor de Monitoreo</t>
        </is>
      </c>
      <c r="D20" s="16" t="n">
        <v>0</v>
      </c>
      <c r="E20" s="16" t="n">
        <v>1</v>
      </c>
      <c r="F20" s="16" t="n">
        <v>0</v>
      </c>
      <c r="G20" s="16" t="n">
        <v>1</v>
      </c>
      <c r="H20" s="16" t="inlineStr">
        <is>
          <t>Crítica</t>
        </is>
      </c>
      <c r="J20" s="32" t="inlineStr">
        <is>
          <t>SRV</t>
        </is>
      </c>
    </row>
    <row r="21" ht="20" customHeight="1">
      <c r="B21" s="33" t="inlineStr">
        <is>
          <t>Sin asignar</t>
        </is>
      </c>
      <c r="C21" s="18" t="inlineStr">
        <is>
          <t>Sin asignar / Vacío</t>
        </is>
      </c>
      <c r="D21" s="19" t="n">
        <v>2</v>
      </c>
      <c r="E21" s="19" t="n">
        <v>4</v>
      </c>
      <c r="F21" s="19" t="n">
        <v>12</v>
      </c>
      <c r="G21" s="19" t="n">
        <v>18</v>
      </c>
      <c r="H21" s="19" t="inlineStr">
        <is>
          <t>—</t>
        </is>
      </c>
      <c r="J21" s="34" t="inlineStr">
        <is>
          <t>—</t>
        </is>
      </c>
    </row>
    <row r="22" ht="20" customHeight="1">
      <c r="B22" s="35" t="inlineStr">
        <is>
          <t>Desasignar</t>
        </is>
      </c>
      <c r="C22" s="15" t="inlineStr">
        <is>
          <t>Desasignado / Para retirar</t>
        </is>
      </c>
      <c r="D22" s="16" t="n">
        <v>3</v>
      </c>
      <c r="E22" s="16" t="n">
        <v>0</v>
      </c>
      <c r="F22" s="16" t="n">
        <v>0</v>
      </c>
      <c r="G22" s="16" t="n">
        <v>3</v>
      </c>
      <c r="H22" s="16" t="inlineStr">
        <is>
          <t>—</t>
        </is>
      </c>
      <c r="J22" s="36" t="inlineStr">
        <is>
          <t>DEL</t>
        </is>
      </c>
    </row>
  </sheetData>
  <mergeCells count="4">
    <mergeCell ref="B11:D11"/>
    <mergeCell ref="B14:I14"/>
    <mergeCell ref="B4:I4"/>
    <mergeCell ref="B2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3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" customHeight="1">
      <c r="A2" s="1" t="n"/>
      <c r="B2" s="12" t="inlineStr">
        <is>
          <t>Catálogo de VLANs — JSJ 2026</t>
        </is>
      </c>
      <c r="I2" s="1" t="n"/>
    </row>
    <row r="3" ht="13" customHeight="1">
      <c r="A3" s="1" t="n"/>
      <c r="I3" s="1" t="n"/>
    </row>
    <row r="4" ht="13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12" customHeight="1"/>
    <row r="6" ht="22" customHeight="1">
      <c r="B6" s="13" t="inlineStr">
        <is>
          <t>VLAN</t>
        </is>
      </c>
      <c r="C6" s="13" t="inlineStr">
        <is>
          <t>Descripción</t>
        </is>
      </c>
      <c r="D6" s="13" t="inlineStr">
        <is>
          <t>Color Hex</t>
        </is>
      </c>
      <c r="E6" s="13" t="inlineStr">
        <is>
          <t>Color Visual</t>
        </is>
      </c>
      <c r="F6" s="13" t="inlineStr">
        <is>
          <t>Prioridad</t>
        </is>
      </c>
      <c r="G6" s="13" t="inlineStr">
        <is>
          <t>Switch A</t>
        </is>
      </c>
      <c r="H6" s="13" t="inlineStr">
        <is>
          <t>Switch B</t>
        </is>
      </c>
      <c r="I6" s="13" t="inlineStr">
        <is>
          <t>Switch C</t>
        </is>
      </c>
    </row>
    <row r="7" ht="20" customHeight="1">
      <c r="B7" s="23" t="inlineStr">
        <is>
          <t>BROADCAST</t>
        </is>
      </c>
      <c r="C7" s="15" t="inlineStr">
        <is>
          <t>Broadcast / Difusión</t>
        </is>
      </c>
      <c r="D7" s="37" t="inlineStr">
        <is>
          <t>#185FA5</t>
        </is>
      </c>
      <c r="E7" s="20" t="inlineStr">
        <is>
          <t>BCAST</t>
        </is>
      </c>
      <c r="F7" s="16" t="inlineStr">
        <is>
          <t>Normal</t>
        </is>
      </c>
      <c r="G7" s="16" t="n">
        <v>5</v>
      </c>
      <c r="H7" s="16" t="n">
        <v>5</v>
      </c>
      <c r="I7" s="16" t="n">
        <v>4</v>
      </c>
    </row>
    <row r="8" ht="20" customHeight="1">
      <c r="B8" s="25" t="inlineStr">
        <is>
          <t>GMS</t>
        </is>
      </c>
      <c r="C8" s="18" t="inlineStr">
        <is>
          <t>Gestión General</t>
        </is>
      </c>
      <c r="D8" s="38" t="inlineStr">
        <is>
          <t>#639922</t>
        </is>
      </c>
      <c r="E8" s="39" t="inlineStr">
        <is>
          <t>GMS</t>
        </is>
      </c>
      <c r="F8" s="19" t="inlineStr">
        <is>
          <t>Alta</t>
        </is>
      </c>
      <c r="G8" s="19" t="n">
        <v>6</v>
      </c>
      <c r="H8" s="19" t="n">
        <v>8</v>
      </c>
      <c r="I8" s="19" t="n">
        <v>3</v>
      </c>
    </row>
    <row r="9" ht="20" customHeight="1">
      <c r="B9" s="27" t="inlineStr">
        <is>
          <t>GMS2</t>
        </is>
      </c>
      <c r="C9" s="15" t="inlineStr">
        <is>
          <t>Gestión Secundaria</t>
        </is>
      </c>
      <c r="D9" s="37" t="inlineStr">
        <is>
          <t>#BA7517</t>
        </is>
      </c>
      <c r="E9" s="40" t="inlineStr">
        <is>
          <t>GMS2</t>
        </is>
      </c>
      <c r="F9" s="16" t="inlineStr">
        <is>
          <t>Alta</t>
        </is>
      </c>
      <c r="G9" s="16" t="n">
        <v>8</v>
      </c>
      <c r="H9" s="16" t="n">
        <v>6</v>
      </c>
      <c r="I9" s="16" t="n">
        <v>3</v>
      </c>
    </row>
    <row r="10" ht="20" customHeight="1">
      <c r="B10" s="29" t="inlineStr">
        <is>
          <t>ACCESS POINT</t>
        </is>
      </c>
      <c r="C10" s="18" t="inlineStr">
        <is>
          <t>Red Inalámbrica (AP)</t>
        </is>
      </c>
      <c r="D10" s="38" t="inlineStr">
        <is>
          <t>#0F6E56</t>
        </is>
      </c>
      <c r="E10" s="41" t="inlineStr">
        <is>
          <t>AP</t>
        </is>
      </c>
      <c r="F10" s="19" t="inlineStr">
        <is>
          <t>Normal</t>
        </is>
      </c>
      <c r="G10" s="19" t="n">
        <v>0</v>
      </c>
      <c r="H10" s="19" t="n">
        <v>0</v>
      </c>
      <c r="I10" s="19" t="n">
        <v>2</v>
      </c>
    </row>
    <row r="11" ht="20" customHeight="1">
      <c r="B11" s="31" t="inlineStr">
        <is>
          <t>SERVER MONITOREO</t>
        </is>
      </c>
      <c r="C11" s="15" t="inlineStr">
        <is>
          <t>Servidor de Monitoreo</t>
        </is>
      </c>
      <c r="D11" s="37" t="inlineStr">
        <is>
          <t>#A32D2D</t>
        </is>
      </c>
      <c r="E11" s="42" t="inlineStr">
        <is>
          <t>SRV</t>
        </is>
      </c>
      <c r="F11" s="16" t="inlineStr">
        <is>
          <t>Crítica</t>
        </is>
      </c>
      <c r="G11" s="16" t="n">
        <v>0</v>
      </c>
      <c r="H11" s="16" t="n">
        <v>1</v>
      </c>
      <c r="I11" s="16" t="n">
        <v>0</v>
      </c>
    </row>
    <row r="12" ht="20" customHeight="1">
      <c r="B12" s="33" t="inlineStr">
        <is>
          <t>Sin asignar</t>
        </is>
      </c>
      <c r="C12" s="18" t="inlineStr">
        <is>
          <t>Sin asignar / Vacío</t>
        </is>
      </c>
      <c r="D12" s="38" t="inlineStr">
        <is>
          <t>#888780</t>
        </is>
      </c>
      <c r="E12" s="43" t="inlineStr">
        <is>
          <t>—</t>
        </is>
      </c>
      <c r="F12" s="19" t="inlineStr">
        <is>
          <t>—</t>
        </is>
      </c>
      <c r="G12" s="19" t="n">
        <v>2</v>
      </c>
      <c r="H12" s="19" t="n">
        <v>4</v>
      </c>
      <c r="I12" s="19" t="n">
        <v>12</v>
      </c>
    </row>
    <row r="13" ht="20" customHeight="1">
      <c r="B13" s="35" t="inlineStr">
        <is>
          <t>Desasignar</t>
        </is>
      </c>
      <c r="C13" s="15" t="inlineStr">
        <is>
          <t>Desasignado / Para retirar</t>
        </is>
      </c>
      <c r="D13" s="37" t="inlineStr">
        <is>
          <t>#5F5E5A</t>
        </is>
      </c>
      <c r="E13" s="44" t="inlineStr">
        <is>
          <t>DEL</t>
        </is>
      </c>
      <c r="F13" s="16" t="inlineStr">
        <is>
          <t>—</t>
        </is>
      </c>
      <c r="G13" s="16" t="n">
        <v>3</v>
      </c>
      <c r="H13" s="16" t="n">
        <v>0</v>
      </c>
      <c r="I13" s="16" t="n">
        <v>0</v>
      </c>
    </row>
  </sheetData>
  <mergeCells count="1">
    <mergeCell ref="B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48"/>
  <sheetViews>
    <sheetView showGridLines="0"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9" customWidth="1" min="2" max="2"/>
    <col width="16" customWidth="1" min="3" max="3"/>
    <col width="22" customWidth="1" min="4" max="4"/>
    <col width="20" customWidth="1" min="5" max="5"/>
    <col width="16" customWidth="1" min="6" max="6"/>
    <col width="32" customWidth="1" min="7" max="7"/>
    <col width="32" customWidth="1" min="8" max="8"/>
  </cols>
  <sheetData>
    <row r="1" ht="13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3" customHeight="1">
      <c r="A2" s="1" t="n"/>
      <c r="B2" s="45" t="inlineStr">
        <is>
          <t>FortiSwitch 124F  ·  Venue Principal (IBC) — Distribución</t>
        </is>
      </c>
      <c r="J2" s="1" t="n"/>
      <c r="K2" s="1" t="n"/>
    </row>
    <row r="3" ht="13" customHeight="1">
      <c r="A3" s="1" t="n"/>
      <c r="J3" s="1" t="n"/>
      <c r="K3" s="1" t="n"/>
    </row>
    <row r="4" ht="13" customHeight="1">
      <c r="A4" s="1" t="n"/>
      <c r="B4" s="3" t="inlineStr">
        <is>
          <t>IP: 10.0.1.100  ·  Modelo: FortiSwitch 124F  ·  Total Puertos: 24</t>
        </is>
      </c>
      <c r="J4" s="1" t="n"/>
      <c r="K4" s="1" t="n"/>
    </row>
    <row r="5" ht="13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12" customHeight="1">
      <c r="G6" s="46" t="inlineStr">
        <is>
          <t>ESTADÍSTICAS</t>
        </is>
      </c>
    </row>
    <row r="7" ht="18" customHeight="1">
      <c r="B7" s="47" t="inlineStr">
        <is>
          <t>Switch ID</t>
        </is>
      </c>
      <c r="C7" s="48" t="inlineStr">
        <is>
          <t>FSW_124F_Dist</t>
        </is>
      </c>
      <c r="D7" s="7" t="n"/>
      <c r="E7" s="8" t="n"/>
    </row>
    <row r="8" ht="18" customHeight="1">
      <c r="B8" s="47" t="inlineStr">
        <is>
          <t>Nombre</t>
        </is>
      </c>
      <c r="C8" s="48" t="inlineStr">
        <is>
          <t>FortiSwitch 124F</t>
        </is>
      </c>
      <c r="D8" s="7" t="n"/>
      <c r="E8" s="8" t="n"/>
    </row>
    <row r="9" ht="18" customHeight="1">
      <c r="B9" s="47" t="inlineStr">
        <is>
          <t>Modelo</t>
        </is>
      </c>
      <c r="C9" s="48" t="inlineStr">
        <is>
          <t>FortiSwitch 124F</t>
        </is>
      </c>
      <c r="D9" s="7" t="n"/>
      <c r="E9" s="8" t="n"/>
    </row>
    <row r="10" ht="18" customHeight="1">
      <c r="B10" s="47" t="inlineStr">
        <is>
          <t>Ubicación</t>
        </is>
      </c>
      <c r="C10" s="48" t="inlineStr">
        <is>
          <t>Venue Principal (IBC) — Distribución</t>
        </is>
      </c>
      <c r="D10" s="7" t="n"/>
      <c r="E10" s="8" t="n"/>
    </row>
    <row r="11" ht="18" customHeight="1">
      <c r="B11" s="47" t="inlineStr">
        <is>
          <t>IP Gestión</t>
        </is>
      </c>
      <c r="C11" s="48" t="inlineStr">
        <is>
          <t>10.0.1.100</t>
        </is>
      </c>
      <c r="D11" s="7" t="n"/>
      <c r="E11" s="8" t="n"/>
    </row>
    <row r="12" ht="18" customHeight="1">
      <c r="B12" s="47" t="inlineStr">
        <is>
          <t>SSH Port</t>
        </is>
      </c>
      <c r="C12" s="48" t="inlineStr">
        <is>
          <t>22</t>
        </is>
      </c>
      <c r="D12" s="7" t="n"/>
      <c r="E12" s="8" t="n"/>
    </row>
    <row r="13" ht="18" customHeight="1">
      <c r="B13" s="47" t="inlineStr">
        <is>
          <t>Total Puertos</t>
        </is>
      </c>
      <c r="C13" s="48" t="inlineStr">
        <is>
          <t>24</t>
        </is>
      </c>
      <c r="D13" s="7" t="n"/>
      <c r="E13" s="8" t="n"/>
    </row>
    <row r="15" ht="22" customHeight="1">
      <c r="B15" s="22" t="inlineStr">
        <is>
          <t>Puerto</t>
        </is>
      </c>
      <c r="C15" s="22" t="inlineStr">
        <is>
          <t>Cable</t>
        </is>
      </c>
      <c r="D15" s="22" t="inlineStr">
        <is>
          <t>VLAN</t>
        </is>
      </c>
      <c r="E15" s="22" t="inlineStr">
        <is>
          <t>Estado</t>
        </is>
      </c>
      <c r="F15" s="22" t="inlineStr">
        <is>
          <t>Dispositivo</t>
        </is>
      </c>
      <c r="G15" s="22" t="inlineStr">
        <is>
          <t>Notas</t>
        </is>
      </c>
    </row>
    <row r="16" ht="20" customHeight="1">
      <c r="B16" s="49" t="inlineStr">
        <is>
          <t>P01</t>
        </is>
      </c>
      <c r="C16" s="50" t="inlineStr">
        <is>
          <t>PT13</t>
        </is>
      </c>
      <c r="D16" s="20" t="inlineStr">
        <is>
          <t>BROADCAST</t>
        </is>
      </c>
      <c r="E16" s="51" t="inlineStr">
        <is>
          <t>activo</t>
        </is>
      </c>
      <c r="F16" s="37" t="inlineStr"/>
      <c r="G16" s="37" t="inlineStr"/>
    </row>
    <row r="17" ht="20" customHeight="1">
      <c r="B17" s="49" t="inlineStr">
        <is>
          <t>P02</t>
        </is>
      </c>
      <c r="C17" s="52" t="inlineStr">
        <is>
          <t>PT17</t>
        </is>
      </c>
      <c r="D17" s="39" t="inlineStr">
        <is>
          <t>GMS</t>
        </is>
      </c>
      <c r="E17" s="51" t="inlineStr">
        <is>
          <t>activo</t>
        </is>
      </c>
      <c r="F17" s="38" t="inlineStr"/>
      <c r="G17" s="38" t="inlineStr"/>
    </row>
    <row r="18" ht="20" customHeight="1">
      <c r="B18" s="49" t="inlineStr">
        <is>
          <t>P03</t>
        </is>
      </c>
      <c r="C18" s="50" t="inlineStr">
        <is>
          <t>PT09</t>
        </is>
      </c>
      <c r="D18" s="20" t="inlineStr">
        <is>
          <t>BROADCAST</t>
        </is>
      </c>
      <c r="E18" s="51" t="inlineStr">
        <is>
          <t>activo</t>
        </is>
      </c>
      <c r="F18" s="37" t="inlineStr"/>
      <c r="G18" s="37" t="inlineStr"/>
    </row>
    <row r="19" ht="20" customHeight="1">
      <c r="B19" s="49" t="inlineStr">
        <is>
          <t>P04</t>
        </is>
      </c>
      <c r="C19" s="52" t="inlineStr">
        <is>
          <t>PT07</t>
        </is>
      </c>
      <c r="D19" s="39" t="inlineStr">
        <is>
          <t>GMS</t>
        </is>
      </c>
      <c r="E19" s="51" t="inlineStr">
        <is>
          <t>activo</t>
        </is>
      </c>
      <c r="F19" s="38" t="inlineStr"/>
      <c r="G19" s="38" t="inlineStr"/>
    </row>
    <row r="20" ht="20" customHeight="1">
      <c r="B20" s="49" t="inlineStr">
        <is>
          <t>P05</t>
        </is>
      </c>
      <c r="C20" s="50" t="inlineStr">
        <is>
          <t>PT08</t>
        </is>
      </c>
      <c r="D20" s="40" t="inlineStr">
        <is>
          <t>GMS2</t>
        </is>
      </c>
      <c r="E20" s="51" t="inlineStr">
        <is>
          <t>activo</t>
        </is>
      </c>
      <c r="F20" s="37" t="inlineStr"/>
      <c r="G20" s="37" t="inlineStr"/>
    </row>
    <row r="21" ht="20" customHeight="1">
      <c r="B21" s="49" t="inlineStr">
        <is>
          <t>P06</t>
        </is>
      </c>
      <c r="C21" s="52" t="inlineStr">
        <is>
          <t>PT19</t>
        </is>
      </c>
      <c r="D21" s="40" t="inlineStr">
        <is>
          <t>GMS2</t>
        </is>
      </c>
      <c r="E21" s="51" t="inlineStr">
        <is>
          <t>activo</t>
        </is>
      </c>
      <c r="F21" s="38" t="inlineStr"/>
      <c r="G21" s="38" t="inlineStr"/>
    </row>
    <row r="22" ht="20" customHeight="1">
      <c r="B22" s="49" t="inlineStr">
        <is>
          <t>P07</t>
        </is>
      </c>
      <c r="C22" s="50" t="inlineStr">
        <is>
          <t>PT21</t>
        </is>
      </c>
      <c r="D22" s="20" t="inlineStr">
        <is>
          <t>BROADCAST</t>
        </is>
      </c>
      <c r="E22" s="51" t="inlineStr">
        <is>
          <t>activo</t>
        </is>
      </c>
      <c r="F22" s="37" t="inlineStr"/>
      <c r="G22" s="37" t="inlineStr"/>
    </row>
    <row r="23" ht="20" customHeight="1">
      <c r="B23" s="49" t="inlineStr">
        <is>
          <t>P08</t>
        </is>
      </c>
      <c r="C23" s="53" t="inlineStr"/>
      <c r="D23" s="43" t="inlineStr">
        <is>
          <t>Sin asignar</t>
        </is>
      </c>
      <c r="E23" s="54" t="inlineStr">
        <is>
          <t>vacio</t>
        </is>
      </c>
      <c r="F23" s="38" t="inlineStr"/>
      <c r="G23" s="38" t="inlineStr"/>
    </row>
    <row r="24" ht="20" customHeight="1">
      <c r="B24" s="49" t="inlineStr">
        <is>
          <t>P09</t>
        </is>
      </c>
      <c r="C24" s="50" t="inlineStr">
        <is>
          <t>PT03</t>
        </is>
      </c>
      <c r="D24" s="44" t="inlineStr">
        <is>
          <t>Desasignar</t>
        </is>
      </c>
      <c r="E24" s="55" t="inlineStr">
        <is>
          <t>desasignado</t>
        </is>
      </c>
      <c r="F24" s="37" t="inlineStr"/>
      <c r="G24" s="37" t="inlineStr"/>
    </row>
    <row r="25" ht="20" customHeight="1">
      <c r="B25" s="49" t="inlineStr">
        <is>
          <t>P10</t>
        </is>
      </c>
      <c r="C25" s="53" t="inlineStr"/>
      <c r="D25" s="43" t="inlineStr">
        <is>
          <t>Sin asignar</t>
        </is>
      </c>
      <c r="E25" s="54" t="inlineStr">
        <is>
          <t>vacio</t>
        </is>
      </c>
      <c r="F25" s="38" t="inlineStr"/>
      <c r="G25" s="38" t="inlineStr"/>
    </row>
    <row r="26" ht="20" customHeight="1">
      <c r="B26" s="49" t="inlineStr">
        <is>
          <t>P11</t>
        </is>
      </c>
      <c r="C26" s="50" t="inlineStr">
        <is>
          <t>PT01</t>
        </is>
      </c>
      <c r="D26" s="44" t="inlineStr">
        <is>
          <t>Desasignar</t>
        </is>
      </c>
      <c r="E26" s="55" t="inlineStr">
        <is>
          <t>desasignado</t>
        </is>
      </c>
      <c r="F26" s="37" t="inlineStr"/>
      <c r="G26" s="37" t="inlineStr"/>
    </row>
    <row r="27" ht="20" customHeight="1">
      <c r="B27" s="49" t="inlineStr">
        <is>
          <t>P12</t>
        </is>
      </c>
      <c r="C27" s="52" t="inlineStr">
        <is>
          <t>PT02</t>
        </is>
      </c>
      <c r="D27" s="44" t="inlineStr">
        <is>
          <t>Desasignar</t>
        </is>
      </c>
      <c r="E27" s="55" t="inlineStr">
        <is>
          <t>desasignado</t>
        </is>
      </c>
      <c r="F27" s="38" t="inlineStr"/>
      <c r="G27" s="38" t="inlineStr"/>
    </row>
    <row r="28" ht="20" customHeight="1">
      <c r="B28" s="49" t="inlineStr">
        <is>
          <t>P13</t>
        </is>
      </c>
      <c r="C28" s="50" t="inlineStr">
        <is>
          <t>PT11</t>
        </is>
      </c>
      <c r="D28" s="40" t="inlineStr">
        <is>
          <t>GMS2</t>
        </is>
      </c>
      <c r="E28" s="51" t="inlineStr">
        <is>
          <t>activo</t>
        </is>
      </c>
      <c r="F28" s="37" t="inlineStr"/>
      <c r="G28" s="37" t="inlineStr"/>
    </row>
    <row r="29" ht="20" customHeight="1">
      <c r="B29" s="49" t="inlineStr">
        <is>
          <t>P14</t>
        </is>
      </c>
      <c r="C29" s="52" t="inlineStr">
        <is>
          <t>PT18</t>
        </is>
      </c>
      <c r="D29" s="20" t="inlineStr">
        <is>
          <t>BROADCAST</t>
        </is>
      </c>
      <c r="E29" s="51" t="inlineStr">
        <is>
          <t>activo</t>
        </is>
      </c>
      <c r="F29" s="38" t="inlineStr"/>
      <c r="G29" s="38" t="inlineStr"/>
    </row>
    <row r="30" ht="20" customHeight="1">
      <c r="B30" s="49" t="inlineStr">
        <is>
          <t>P15</t>
        </is>
      </c>
      <c r="C30" s="50" t="inlineStr">
        <is>
          <t>PT20</t>
        </is>
      </c>
      <c r="D30" s="20" t="inlineStr">
        <is>
          <t>BROADCAST</t>
        </is>
      </c>
      <c r="E30" s="51" t="inlineStr">
        <is>
          <t>activo</t>
        </is>
      </c>
      <c r="F30" s="37" t="inlineStr"/>
      <c r="G30" s="37" t="inlineStr"/>
    </row>
    <row r="31" ht="20" customHeight="1">
      <c r="B31" s="49" t="inlineStr">
        <is>
          <t>P16</t>
        </is>
      </c>
      <c r="C31" s="52" t="inlineStr">
        <is>
          <t>PT25</t>
        </is>
      </c>
      <c r="D31" s="40" t="inlineStr">
        <is>
          <t>GMS2</t>
        </is>
      </c>
      <c r="E31" s="51" t="inlineStr">
        <is>
          <t>activo</t>
        </is>
      </c>
      <c r="F31" s="38" t="inlineStr"/>
      <c r="G31" s="38" t="inlineStr"/>
    </row>
    <row r="32" ht="20" customHeight="1">
      <c r="B32" s="49" t="inlineStr">
        <is>
          <t>P17</t>
        </is>
      </c>
      <c r="C32" s="50" t="inlineStr">
        <is>
          <t>PT15</t>
        </is>
      </c>
      <c r="D32" s="39" t="inlineStr">
        <is>
          <t>GMS</t>
        </is>
      </c>
      <c r="E32" s="51" t="inlineStr">
        <is>
          <t>activo</t>
        </is>
      </c>
      <c r="F32" s="37" t="inlineStr"/>
      <c r="G32" s="37" t="inlineStr"/>
    </row>
    <row r="33" ht="20" customHeight="1">
      <c r="B33" s="49" t="inlineStr">
        <is>
          <t>P18</t>
        </is>
      </c>
      <c r="C33" s="52" t="inlineStr">
        <is>
          <t>PT16</t>
        </is>
      </c>
      <c r="D33" s="40" t="inlineStr">
        <is>
          <t>GMS2</t>
        </is>
      </c>
      <c r="E33" s="51" t="inlineStr">
        <is>
          <t>activo</t>
        </is>
      </c>
      <c r="F33" s="38" t="inlineStr"/>
      <c r="G33" s="38" t="inlineStr"/>
    </row>
    <row r="34" ht="20" customHeight="1">
      <c r="B34" s="49" t="inlineStr">
        <is>
          <t>P19</t>
        </is>
      </c>
      <c r="C34" s="50" t="inlineStr">
        <is>
          <t>PT32</t>
        </is>
      </c>
      <c r="D34" s="39" t="inlineStr">
        <is>
          <t>GMS</t>
        </is>
      </c>
      <c r="E34" s="51" t="inlineStr">
        <is>
          <t>activo</t>
        </is>
      </c>
      <c r="F34" s="37" t="inlineStr"/>
      <c r="G34" s="37" t="inlineStr"/>
    </row>
    <row r="35" ht="20" customHeight="1">
      <c r="B35" s="49" t="inlineStr">
        <is>
          <t>P20</t>
        </is>
      </c>
      <c r="C35" s="52" t="inlineStr">
        <is>
          <t>PT27</t>
        </is>
      </c>
      <c r="D35" s="40" t="inlineStr">
        <is>
          <t>GMS2</t>
        </is>
      </c>
      <c r="E35" s="51" t="inlineStr">
        <is>
          <t>activo</t>
        </is>
      </c>
      <c r="F35" s="38" t="inlineStr"/>
      <c r="G35" s="38" t="inlineStr"/>
    </row>
    <row r="36" ht="20" customHeight="1">
      <c r="B36" s="49" t="inlineStr">
        <is>
          <t>P21</t>
        </is>
      </c>
      <c r="C36" s="50" t="inlineStr">
        <is>
          <t>PT28</t>
        </is>
      </c>
      <c r="D36" s="40" t="inlineStr">
        <is>
          <t>GMS2</t>
        </is>
      </c>
      <c r="E36" s="51" t="inlineStr">
        <is>
          <t>activo</t>
        </is>
      </c>
      <c r="F36" s="37" t="inlineStr"/>
      <c r="G36" s="37" t="inlineStr"/>
    </row>
    <row r="37" ht="20" customHeight="1">
      <c r="B37" s="49" t="inlineStr">
        <is>
          <t>P22</t>
        </is>
      </c>
      <c r="C37" s="52" t="inlineStr">
        <is>
          <t>PT31</t>
        </is>
      </c>
      <c r="D37" s="40" t="inlineStr">
        <is>
          <t>GMS2</t>
        </is>
      </c>
      <c r="E37" s="51" t="inlineStr">
        <is>
          <t>activo</t>
        </is>
      </c>
      <c r="F37" s="38" t="inlineStr"/>
      <c r="G37" s="38" t="inlineStr"/>
    </row>
    <row r="38" ht="20" customHeight="1">
      <c r="B38" s="49" t="inlineStr">
        <is>
          <t>P23</t>
        </is>
      </c>
      <c r="C38" s="50" t="inlineStr">
        <is>
          <t>PT24</t>
        </is>
      </c>
      <c r="D38" s="39" t="inlineStr">
        <is>
          <t>GMS</t>
        </is>
      </c>
      <c r="E38" s="51" t="inlineStr">
        <is>
          <t>activo</t>
        </is>
      </c>
      <c r="F38" s="37" t="inlineStr"/>
      <c r="G38" s="37" t="inlineStr"/>
    </row>
    <row r="39" ht="20" customHeight="1">
      <c r="B39" s="49" t="inlineStr">
        <is>
          <t>P24</t>
        </is>
      </c>
      <c r="C39" s="52" t="inlineStr">
        <is>
          <t>PT29</t>
        </is>
      </c>
      <c r="D39" s="39" t="inlineStr">
        <is>
          <t>GMS</t>
        </is>
      </c>
      <c r="E39" s="51" t="inlineStr">
        <is>
          <t>activo</t>
        </is>
      </c>
      <c r="F39" s="38" t="inlineStr"/>
      <c r="G39" s="38" t="inlineStr"/>
    </row>
    <row r="41" ht="12" customHeight="1"/>
    <row r="42">
      <c r="B42" s="56" t="inlineStr">
        <is>
          <t>RESUMEN AUTOMÁTICO (fórmulas)</t>
        </is>
      </c>
    </row>
    <row r="43" ht="18" customHeight="1">
      <c r="B43" s="57" t="inlineStr">
        <is>
          <t>Total Puertos</t>
        </is>
      </c>
      <c r="C43" s="16">
        <f>COUNTA(B16:B39)</f>
        <v/>
      </c>
      <c r="D43" s="8" t="n"/>
    </row>
    <row r="44" ht="18" customHeight="1">
      <c r="B44" s="57" t="inlineStr">
        <is>
          <t>Activos</t>
        </is>
      </c>
      <c r="C44" s="16">
        <f>COUNTIF(E16:E39,"activo")</f>
        <v/>
      </c>
      <c r="D44" s="8" t="n"/>
    </row>
    <row r="45" ht="18" customHeight="1">
      <c r="B45" s="57" t="inlineStr">
        <is>
          <t>Vacíos</t>
        </is>
      </c>
      <c r="C45" s="16">
        <f>COUNTIF(E16:E39,"vacio")</f>
        <v/>
      </c>
      <c r="D45" s="8" t="n"/>
    </row>
    <row r="46" ht="18" customHeight="1">
      <c r="B46" s="57" t="inlineStr">
        <is>
          <t>Desasignados</t>
        </is>
      </c>
      <c r="C46" s="16">
        <f>COUNTIF(E16:E39,"desasignado")</f>
        <v/>
      </c>
      <c r="D46" s="8" t="n"/>
    </row>
    <row r="47" ht="18" customHeight="1">
      <c r="B47" s="57" t="inlineStr">
        <is>
          <t>Reservados</t>
        </is>
      </c>
      <c r="C47" s="16">
        <f>COUNTIF(E16:E39,"reservado")</f>
        <v/>
      </c>
      <c r="D47" s="8" t="n"/>
    </row>
    <row r="48" ht="18" customHeight="1">
      <c r="B48" s="57" t="inlineStr">
        <is>
          <t>VLANs distintas</t>
        </is>
      </c>
      <c r="C48" s="16">
        <f>SUMPRODUCT(1/COUNTIF(D16:D39,D16:D39))</f>
        <v/>
      </c>
      <c r="D48" s="8" t="n"/>
    </row>
  </sheetData>
  <mergeCells count="17">
    <mergeCell ref="C43:D43"/>
    <mergeCell ref="C11:E11"/>
    <mergeCell ref="B42:G42"/>
    <mergeCell ref="C46:D46"/>
    <mergeCell ref="C13:E13"/>
    <mergeCell ref="C47:D47"/>
    <mergeCell ref="C8:E8"/>
    <mergeCell ref="C9:E9"/>
    <mergeCell ref="B2:I3"/>
    <mergeCell ref="C45:D45"/>
    <mergeCell ref="C44:D44"/>
    <mergeCell ref="G6:H6"/>
    <mergeCell ref="C7:E7"/>
    <mergeCell ref="C48:D48"/>
    <mergeCell ref="C12:E12"/>
    <mergeCell ref="B4:I4"/>
    <mergeCell ref="C10:E10"/>
  </mergeCells>
  <dataValidations count="2">
    <dataValidation sqref="D16 D17 D18 D19 D20 D21 D22 D23 D24 D25 D26 D27 D28 D29 D30 D31 D32 D33 D34 D35 D36 D37 D38 D39" showDropDown="0" showInputMessage="0" showErrorMessage="0" allowBlank="0" type="list">
      <formula1>"BROADCAST,GMS,GMS2,ACCESS POINT,SERVER MONITOREO,Sin asignar,Desasignar"</formula1>
    </dataValidation>
    <dataValidation sqref="E16 E17 E18 E19 E20 E21 E22 E23 E24 E25 E26 E27 E28 E29 E30 E31 E32 E33 E34 E35 E36 E37 E38 E39" showDropDown="0" showInputMessage="0" showErrorMessage="0" allowBlank="0" type="list">
      <formula1>"activo,vacio,desasignado,reservado"</formula1>
    </dataValidation>
  </dataValidation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48"/>
  <sheetViews>
    <sheetView showGridLines="0"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9" customWidth="1" min="2" max="2"/>
    <col width="16" customWidth="1" min="3" max="3"/>
    <col width="22" customWidth="1" min="4" max="4"/>
    <col width="20" customWidth="1" min="5" max="5"/>
    <col width="16" customWidth="1" min="6" max="6"/>
    <col width="32" customWidth="1" min="7" max="7"/>
    <col width="32" customWidth="1" min="8" max="8"/>
  </cols>
  <sheetData>
    <row r="1" ht="13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3" customHeight="1">
      <c r="A2" s="1" t="n"/>
      <c r="B2" s="45" t="inlineStr">
        <is>
          <t>FortiSwitch 624F IBC A  ·  IBC — Centro de Control A</t>
        </is>
      </c>
      <c r="J2" s="1" t="n"/>
      <c r="K2" s="1" t="n"/>
    </row>
    <row r="3" ht="13" customHeight="1">
      <c r="A3" s="1" t="n"/>
      <c r="J3" s="1" t="n"/>
      <c r="K3" s="1" t="n"/>
    </row>
    <row r="4" ht="13" customHeight="1">
      <c r="A4" s="1" t="n"/>
      <c r="B4" s="3" t="inlineStr">
        <is>
          <t>IP: 10.0.2.100  ·  Modelo: FortiSwitch 624F  ·  Total Puertos: 24</t>
        </is>
      </c>
      <c r="J4" s="1" t="n"/>
      <c r="K4" s="1" t="n"/>
    </row>
    <row r="5" ht="13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12" customHeight="1">
      <c r="G6" s="46" t="inlineStr">
        <is>
          <t>ESTADÍSTICAS</t>
        </is>
      </c>
    </row>
    <row r="7" ht="18" customHeight="1">
      <c r="B7" s="47" t="inlineStr">
        <is>
          <t>Switch ID</t>
        </is>
      </c>
      <c r="C7" s="48" t="inlineStr">
        <is>
          <t>FSW_624F_IBC_A</t>
        </is>
      </c>
      <c r="D7" s="7" t="n"/>
      <c r="E7" s="8" t="n"/>
    </row>
    <row r="8" ht="18" customHeight="1">
      <c r="B8" s="47" t="inlineStr">
        <is>
          <t>Nombre</t>
        </is>
      </c>
      <c r="C8" s="48" t="inlineStr">
        <is>
          <t>FortiSwitch 624F IBC A</t>
        </is>
      </c>
      <c r="D8" s="7" t="n"/>
      <c r="E8" s="8" t="n"/>
    </row>
    <row r="9" ht="18" customHeight="1">
      <c r="B9" s="47" t="inlineStr">
        <is>
          <t>Modelo</t>
        </is>
      </c>
      <c r="C9" s="48" t="inlineStr">
        <is>
          <t>FortiSwitch 624F</t>
        </is>
      </c>
      <c r="D9" s="7" t="n"/>
      <c r="E9" s="8" t="n"/>
    </row>
    <row r="10" ht="18" customHeight="1">
      <c r="B10" s="47" t="inlineStr">
        <is>
          <t>Ubicación</t>
        </is>
      </c>
      <c r="C10" s="48" t="inlineStr">
        <is>
          <t>IBC — Centro de Control A</t>
        </is>
      </c>
      <c r="D10" s="7" t="n"/>
      <c r="E10" s="8" t="n"/>
    </row>
    <row r="11" ht="18" customHeight="1">
      <c r="B11" s="47" t="inlineStr">
        <is>
          <t>IP Gestión</t>
        </is>
      </c>
      <c r="C11" s="48" t="inlineStr">
        <is>
          <t>10.0.2.100</t>
        </is>
      </c>
      <c r="D11" s="7" t="n"/>
      <c r="E11" s="8" t="n"/>
    </row>
    <row r="12" ht="18" customHeight="1">
      <c r="B12" s="47" t="inlineStr">
        <is>
          <t>SSH Port</t>
        </is>
      </c>
      <c r="C12" s="48" t="inlineStr">
        <is>
          <t>22</t>
        </is>
      </c>
      <c r="D12" s="7" t="n"/>
      <c r="E12" s="8" t="n"/>
    </row>
    <row r="13" ht="18" customHeight="1">
      <c r="B13" s="47" t="inlineStr">
        <is>
          <t>Total Puertos</t>
        </is>
      </c>
      <c r="C13" s="48" t="inlineStr">
        <is>
          <t>24</t>
        </is>
      </c>
      <c r="D13" s="7" t="n"/>
      <c r="E13" s="8" t="n"/>
    </row>
    <row r="15" ht="22" customHeight="1">
      <c r="B15" s="22" t="inlineStr">
        <is>
          <t>Puerto</t>
        </is>
      </c>
      <c r="C15" s="22" t="inlineStr">
        <is>
          <t>Cable</t>
        </is>
      </c>
      <c r="D15" s="22" t="inlineStr">
        <is>
          <t>VLAN</t>
        </is>
      </c>
      <c r="E15" s="22" t="inlineStr">
        <is>
          <t>Estado</t>
        </is>
      </c>
      <c r="F15" s="22" t="inlineStr">
        <is>
          <t>Dispositivo</t>
        </is>
      </c>
      <c r="G15" s="22" t="inlineStr">
        <is>
          <t>Notas</t>
        </is>
      </c>
    </row>
    <row r="16" ht="20" customHeight="1">
      <c r="B16" s="49" t="inlineStr">
        <is>
          <t>P01</t>
        </is>
      </c>
      <c r="C16" s="50" t="inlineStr">
        <is>
          <t>PT14</t>
        </is>
      </c>
      <c r="D16" s="40" t="inlineStr">
        <is>
          <t>GMS2</t>
        </is>
      </c>
      <c r="E16" s="51" t="inlineStr">
        <is>
          <t>activo</t>
        </is>
      </c>
      <c r="F16" s="37" t="inlineStr"/>
      <c r="G16" s="37" t="inlineStr"/>
    </row>
    <row r="17" ht="20" customHeight="1">
      <c r="B17" s="49" t="inlineStr">
        <is>
          <t>P02</t>
        </is>
      </c>
      <c r="C17" s="52" t="inlineStr">
        <is>
          <t>PT04</t>
        </is>
      </c>
      <c r="D17" s="20" t="inlineStr">
        <is>
          <t>BROADCAST</t>
        </is>
      </c>
      <c r="E17" s="51" t="inlineStr">
        <is>
          <t>activo</t>
        </is>
      </c>
      <c r="F17" s="38" t="inlineStr"/>
      <c r="G17" s="38" t="inlineStr"/>
    </row>
    <row r="18" ht="20" customHeight="1">
      <c r="B18" s="49" t="inlineStr">
        <is>
          <t>P03</t>
        </is>
      </c>
      <c r="C18" s="50" t="inlineStr">
        <is>
          <t>PT12</t>
        </is>
      </c>
      <c r="D18" s="39" t="inlineStr">
        <is>
          <t>GMS</t>
        </is>
      </c>
      <c r="E18" s="51" t="inlineStr">
        <is>
          <t>activo</t>
        </is>
      </c>
      <c r="F18" s="37" t="inlineStr"/>
      <c r="G18" s="37" t="inlineStr"/>
    </row>
    <row r="19" ht="20" customHeight="1">
      <c r="B19" s="49" t="inlineStr">
        <is>
          <t>P04</t>
        </is>
      </c>
      <c r="C19" s="52" t="inlineStr">
        <is>
          <t>PT06</t>
        </is>
      </c>
      <c r="D19" s="40" t="inlineStr">
        <is>
          <t>GMS2</t>
        </is>
      </c>
      <c r="E19" s="51" t="inlineStr">
        <is>
          <t>activo</t>
        </is>
      </c>
      <c r="F19" s="38" t="inlineStr"/>
      <c r="G19" s="38" t="inlineStr"/>
    </row>
    <row r="20" ht="20" customHeight="1">
      <c r="B20" s="49" t="inlineStr">
        <is>
          <t>P05</t>
        </is>
      </c>
      <c r="C20" s="50" t="inlineStr">
        <is>
          <t>PT22</t>
        </is>
      </c>
      <c r="D20" s="39" t="inlineStr">
        <is>
          <t>GMS</t>
        </is>
      </c>
      <c r="E20" s="51" t="inlineStr">
        <is>
          <t>activo</t>
        </is>
      </c>
      <c r="F20" s="37" t="inlineStr"/>
      <c r="G20" s="37" t="inlineStr"/>
    </row>
    <row r="21" ht="20" customHeight="1">
      <c r="B21" s="49" t="inlineStr">
        <is>
          <t>P06</t>
        </is>
      </c>
      <c r="C21" s="52" t="inlineStr">
        <is>
          <t>PT05</t>
        </is>
      </c>
      <c r="D21" s="39" t="inlineStr">
        <is>
          <t>GMS</t>
        </is>
      </c>
      <c r="E21" s="51" t="inlineStr">
        <is>
          <t>activo</t>
        </is>
      </c>
      <c r="F21" s="38" t="inlineStr"/>
      <c r="G21" s="38" t="inlineStr"/>
    </row>
    <row r="22" ht="20" customHeight="1">
      <c r="B22" s="49" t="inlineStr">
        <is>
          <t>P07</t>
        </is>
      </c>
      <c r="C22" s="50" t="inlineStr">
        <is>
          <t>PT26</t>
        </is>
      </c>
      <c r="D22" s="39" t="inlineStr">
        <is>
          <t>GMS</t>
        </is>
      </c>
      <c r="E22" s="51" t="inlineStr">
        <is>
          <t>activo</t>
        </is>
      </c>
      <c r="F22" s="37" t="inlineStr"/>
      <c r="G22" s="37" t="inlineStr"/>
    </row>
    <row r="23" ht="20" customHeight="1">
      <c r="B23" s="49" t="inlineStr">
        <is>
          <t>P08</t>
        </is>
      </c>
      <c r="C23" s="52" t="inlineStr">
        <is>
          <t>PT30</t>
        </is>
      </c>
      <c r="D23" s="39" t="inlineStr">
        <is>
          <t>GMS</t>
        </is>
      </c>
      <c r="E23" s="51" t="inlineStr">
        <is>
          <t>activo</t>
        </is>
      </c>
      <c r="F23" s="38" t="inlineStr"/>
      <c r="G23" s="38" t="inlineStr"/>
    </row>
    <row r="24" ht="20" customHeight="1">
      <c r="B24" s="49" t="inlineStr">
        <is>
          <t>P09</t>
        </is>
      </c>
      <c r="C24" s="50" t="inlineStr">
        <is>
          <t>PT33</t>
        </is>
      </c>
      <c r="D24" s="40" t="inlineStr">
        <is>
          <t>GMS2</t>
        </is>
      </c>
      <c r="E24" s="51" t="inlineStr">
        <is>
          <t>activo</t>
        </is>
      </c>
      <c r="F24" s="37" t="inlineStr"/>
      <c r="G24" s="37" t="inlineStr"/>
    </row>
    <row r="25" ht="20" customHeight="1">
      <c r="B25" s="49" t="inlineStr">
        <is>
          <t>P10</t>
        </is>
      </c>
      <c r="C25" s="52" t="inlineStr">
        <is>
          <t>Reservado</t>
        </is>
      </c>
      <c r="D25" s="42" t="inlineStr">
        <is>
          <t>SERVER MONITOREO</t>
        </is>
      </c>
      <c r="E25" s="58" t="inlineStr">
        <is>
          <t>reservado</t>
        </is>
      </c>
      <c r="F25" s="38" t="inlineStr"/>
      <c r="G25" s="38" t="inlineStr"/>
    </row>
    <row r="26" ht="20" customHeight="1">
      <c r="B26" s="49" t="inlineStr">
        <is>
          <t>P11</t>
        </is>
      </c>
      <c r="C26" s="50" t="inlineStr">
        <is>
          <t>PT10</t>
        </is>
      </c>
      <c r="D26" s="20" t="inlineStr">
        <is>
          <t>BROADCAST</t>
        </is>
      </c>
      <c r="E26" s="51" t="inlineStr">
        <is>
          <t>activo</t>
        </is>
      </c>
      <c r="F26" s="37" t="inlineStr"/>
      <c r="G26" s="37" t="inlineStr"/>
    </row>
    <row r="27" ht="20" customHeight="1">
      <c r="B27" s="49" t="inlineStr">
        <is>
          <t>P12</t>
        </is>
      </c>
      <c r="C27" s="52" t="inlineStr">
        <is>
          <t>KI01</t>
        </is>
      </c>
      <c r="D27" s="40" t="inlineStr">
        <is>
          <t>GMS2</t>
        </is>
      </c>
      <c r="E27" s="51" t="inlineStr">
        <is>
          <t>activo</t>
        </is>
      </c>
      <c r="F27" s="38" t="inlineStr"/>
      <c r="G27" s="38" t="inlineStr"/>
    </row>
    <row r="28" ht="20" customHeight="1">
      <c r="B28" s="49" t="inlineStr">
        <is>
          <t>P13</t>
        </is>
      </c>
      <c r="C28" s="50" t="inlineStr">
        <is>
          <t>PT23</t>
        </is>
      </c>
      <c r="D28" s="40" t="inlineStr">
        <is>
          <t>GMS2</t>
        </is>
      </c>
      <c r="E28" s="51" t="inlineStr">
        <is>
          <t>activo</t>
        </is>
      </c>
      <c r="F28" s="37" t="inlineStr"/>
      <c r="G28" s="37" t="inlineStr"/>
    </row>
    <row r="29" ht="20" customHeight="1">
      <c r="B29" s="49" t="inlineStr">
        <is>
          <t>P14</t>
        </is>
      </c>
      <c r="C29" s="52" t="inlineStr">
        <is>
          <t>KI02</t>
        </is>
      </c>
      <c r="D29" s="39" t="inlineStr">
        <is>
          <t>GMS</t>
        </is>
      </c>
      <c r="E29" s="51" t="inlineStr">
        <is>
          <t>activo</t>
        </is>
      </c>
      <c r="F29" s="38" t="inlineStr"/>
      <c r="G29" s="38" t="inlineStr"/>
    </row>
    <row r="30" ht="20" customHeight="1">
      <c r="B30" s="49" t="inlineStr">
        <is>
          <t>P15</t>
        </is>
      </c>
      <c r="C30" s="50" t="inlineStr">
        <is>
          <t>Reservado</t>
        </is>
      </c>
      <c r="D30" s="20" t="inlineStr">
        <is>
          <t>BROADCAST</t>
        </is>
      </c>
      <c r="E30" s="58" t="inlineStr">
        <is>
          <t>reservado</t>
        </is>
      </c>
      <c r="F30" s="37" t="inlineStr"/>
      <c r="G30" s="37" t="inlineStr"/>
    </row>
    <row r="31" ht="20" customHeight="1">
      <c r="B31" s="49" t="inlineStr">
        <is>
          <t>P16</t>
        </is>
      </c>
      <c r="C31" s="52" t="inlineStr">
        <is>
          <t>KI03</t>
        </is>
      </c>
      <c r="D31" s="20" t="inlineStr">
        <is>
          <t>BROADCAST</t>
        </is>
      </c>
      <c r="E31" s="51" t="inlineStr">
        <is>
          <t>activo</t>
        </is>
      </c>
      <c r="F31" s="38" t="inlineStr"/>
      <c r="G31" s="38" t="inlineStr"/>
    </row>
    <row r="32" ht="20" customHeight="1">
      <c r="B32" s="49" t="inlineStr">
        <is>
          <t>P17</t>
        </is>
      </c>
      <c r="C32" s="50" t="inlineStr">
        <is>
          <t>KI04</t>
        </is>
      </c>
      <c r="D32" s="20" t="inlineStr">
        <is>
          <t>BROADCAST</t>
        </is>
      </c>
      <c r="E32" s="51" t="inlineStr">
        <is>
          <t>activo</t>
        </is>
      </c>
      <c r="F32" s="37" t="inlineStr"/>
      <c r="G32" s="37" t="inlineStr"/>
    </row>
    <row r="33" ht="20" customHeight="1">
      <c r="B33" s="49" t="inlineStr">
        <is>
          <t>P18</t>
        </is>
      </c>
      <c r="C33" s="52" t="inlineStr">
        <is>
          <t>KI05</t>
        </is>
      </c>
      <c r="D33" s="39" t="inlineStr">
        <is>
          <t>GMS</t>
        </is>
      </c>
      <c r="E33" s="51" t="inlineStr">
        <is>
          <t>activo</t>
        </is>
      </c>
      <c r="F33" s="38" t="inlineStr"/>
      <c r="G33" s="38" t="inlineStr"/>
    </row>
    <row r="34" ht="20" customHeight="1">
      <c r="B34" s="49" t="inlineStr">
        <is>
          <t>P19</t>
        </is>
      </c>
      <c r="C34" s="50" t="inlineStr">
        <is>
          <t>KI06</t>
        </is>
      </c>
      <c r="D34" s="40" t="inlineStr">
        <is>
          <t>GMS2</t>
        </is>
      </c>
      <c r="E34" s="51" t="inlineStr">
        <is>
          <t>activo</t>
        </is>
      </c>
      <c r="F34" s="37" t="inlineStr"/>
      <c r="G34" s="37" t="inlineStr"/>
    </row>
    <row r="35" ht="20" customHeight="1">
      <c r="B35" s="49" t="inlineStr">
        <is>
          <t>P20</t>
        </is>
      </c>
      <c r="C35" s="52" t="inlineStr">
        <is>
          <t>KI07</t>
        </is>
      </c>
      <c r="D35" s="39" t="inlineStr">
        <is>
          <t>GMS</t>
        </is>
      </c>
      <c r="E35" s="51" t="inlineStr">
        <is>
          <t>activo</t>
        </is>
      </c>
      <c r="F35" s="38" t="inlineStr"/>
      <c r="G35" s="38" t="inlineStr"/>
    </row>
    <row r="36" ht="20" customHeight="1">
      <c r="B36" s="49" t="inlineStr">
        <is>
          <t>P21</t>
        </is>
      </c>
      <c r="C36" s="59" t="inlineStr"/>
      <c r="D36" s="43" t="inlineStr">
        <is>
          <t>Sin asignar</t>
        </is>
      </c>
      <c r="E36" s="54" t="inlineStr">
        <is>
          <t>vacio</t>
        </is>
      </c>
      <c r="F36" s="37" t="inlineStr"/>
      <c r="G36" s="37" t="inlineStr"/>
    </row>
    <row r="37" ht="20" customHeight="1">
      <c r="B37" s="49" t="inlineStr">
        <is>
          <t>P22</t>
        </is>
      </c>
      <c r="C37" s="53" t="inlineStr"/>
      <c r="D37" s="43" t="inlineStr">
        <is>
          <t>Sin asignar</t>
        </is>
      </c>
      <c r="E37" s="54" t="inlineStr">
        <is>
          <t>vacio</t>
        </is>
      </c>
      <c r="F37" s="38" t="inlineStr"/>
      <c r="G37" s="38" t="inlineStr"/>
    </row>
    <row r="38" ht="20" customHeight="1">
      <c r="B38" s="49" t="inlineStr">
        <is>
          <t>P23</t>
        </is>
      </c>
      <c r="C38" s="59" t="inlineStr"/>
      <c r="D38" s="43" t="inlineStr">
        <is>
          <t>Sin asignar</t>
        </is>
      </c>
      <c r="E38" s="54" t="inlineStr">
        <is>
          <t>vacio</t>
        </is>
      </c>
      <c r="F38" s="37" t="inlineStr"/>
      <c r="G38" s="37" t="inlineStr"/>
    </row>
    <row r="39" ht="20" customHeight="1">
      <c r="B39" s="49" t="inlineStr">
        <is>
          <t>P24</t>
        </is>
      </c>
      <c r="C39" s="53" t="inlineStr"/>
      <c r="D39" s="43" t="inlineStr">
        <is>
          <t>Sin asignar</t>
        </is>
      </c>
      <c r="E39" s="54" t="inlineStr">
        <is>
          <t>vacio</t>
        </is>
      </c>
      <c r="F39" s="38" t="inlineStr"/>
      <c r="G39" s="38" t="inlineStr"/>
    </row>
    <row r="41" ht="12" customHeight="1"/>
    <row r="42">
      <c r="B42" s="56" t="inlineStr">
        <is>
          <t>RESUMEN AUTOMÁTICO (fórmulas)</t>
        </is>
      </c>
    </row>
    <row r="43" ht="18" customHeight="1">
      <c r="B43" s="57" t="inlineStr">
        <is>
          <t>Total Puertos</t>
        </is>
      </c>
      <c r="C43" s="16">
        <f>COUNTA(B16:B39)</f>
        <v/>
      </c>
      <c r="D43" s="8" t="n"/>
    </row>
    <row r="44" ht="18" customHeight="1">
      <c r="B44" s="57" t="inlineStr">
        <is>
          <t>Activos</t>
        </is>
      </c>
      <c r="C44" s="16">
        <f>COUNTIF(E16:E39,"activo")</f>
        <v/>
      </c>
      <c r="D44" s="8" t="n"/>
    </row>
    <row r="45" ht="18" customHeight="1">
      <c r="B45" s="57" t="inlineStr">
        <is>
          <t>Vacíos</t>
        </is>
      </c>
      <c r="C45" s="16">
        <f>COUNTIF(E16:E39,"vacio")</f>
        <v/>
      </c>
      <c r="D45" s="8" t="n"/>
    </row>
    <row r="46" ht="18" customHeight="1">
      <c r="B46" s="57" t="inlineStr">
        <is>
          <t>Desasignados</t>
        </is>
      </c>
      <c r="C46" s="16">
        <f>COUNTIF(E16:E39,"desasignado")</f>
        <v/>
      </c>
      <c r="D46" s="8" t="n"/>
    </row>
    <row r="47" ht="18" customHeight="1">
      <c r="B47" s="57" t="inlineStr">
        <is>
          <t>Reservados</t>
        </is>
      </c>
      <c r="C47" s="16">
        <f>COUNTIF(E16:E39,"reservado")</f>
        <v/>
      </c>
      <c r="D47" s="8" t="n"/>
    </row>
    <row r="48" ht="18" customHeight="1">
      <c r="B48" s="57" t="inlineStr">
        <is>
          <t>VLANs distintas</t>
        </is>
      </c>
      <c r="C48" s="16">
        <f>SUMPRODUCT(1/COUNTIF(D16:D39,D16:D39))</f>
        <v/>
      </c>
      <c r="D48" s="8" t="n"/>
    </row>
  </sheetData>
  <mergeCells count="17">
    <mergeCell ref="C43:D43"/>
    <mergeCell ref="C11:E11"/>
    <mergeCell ref="B42:G42"/>
    <mergeCell ref="C46:D46"/>
    <mergeCell ref="C13:E13"/>
    <mergeCell ref="C47:D47"/>
    <mergeCell ref="C8:E8"/>
    <mergeCell ref="C9:E9"/>
    <mergeCell ref="B2:I3"/>
    <mergeCell ref="C45:D45"/>
    <mergeCell ref="C44:D44"/>
    <mergeCell ref="G6:H6"/>
    <mergeCell ref="C7:E7"/>
    <mergeCell ref="C48:D48"/>
    <mergeCell ref="C12:E12"/>
    <mergeCell ref="B4:I4"/>
    <mergeCell ref="C10:E10"/>
  </mergeCells>
  <dataValidations count="2">
    <dataValidation sqref="D16 D17 D18 D19 D20 D21 D22 D23 D24 D25 D26 D27 D28 D29 D30 D31 D32 D33 D34 D35 D36 D37 D38 D39" showDropDown="0" showInputMessage="0" showErrorMessage="0" allowBlank="0" type="list">
      <formula1>"BROADCAST,GMS,GMS2,ACCESS POINT,SERVER MONITOREO,Sin asignar,Desasignar"</formula1>
    </dataValidation>
    <dataValidation sqref="E16 E17 E18 E19 E20 E21 E22 E23 E24 E25 E26 E27 E28 E29 E30 E31 E32 E33 E34 E35 E36 E37 E38 E39" showDropDown="0" showInputMessage="0" showErrorMessage="0" allowBlank="0" type="list">
      <formula1>"activo,vacio,desasignado,reservado"</formula1>
    </dataValidation>
  </dataValidation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48"/>
  <sheetViews>
    <sheetView showGridLines="0"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9" customWidth="1" min="2" max="2"/>
    <col width="16" customWidth="1" min="3" max="3"/>
    <col width="22" customWidth="1" min="4" max="4"/>
    <col width="20" customWidth="1" min="5" max="5"/>
    <col width="16" customWidth="1" min="6" max="6"/>
    <col width="32" customWidth="1" min="7" max="7"/>
    <col width="32" customWidth="1" min="8" max="8"/>
  </cols>
  <sheetData>
    <row r="1" ht="13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3" customHeight="1">
      <c r="A2" s="1" t="n"/>
      <c r="B2" s="45" t="inlineStr">
        <is>
          <t>FortiSwitch 624F IBC B  ·  IBC — Centro de Control B</t>
        </is>
      </c>
      <c r="J2" s="1" t="n"/>
      <c r="K2" s="1" t="n"/>
    </row>
    <row r="3" ht="13" customHeight="1">
      <c r="A3" s="1" t="n"/>
      <c r="J3" s="1" t="n"/>
      <c r="K3" s="1" t="n"/>
    </row>
    <row r="4" ht="13" customHeight="1">
      <c r="A4" s="1" t="n"/>
      <c r="B4" s="3" t="inlineStr">
        <is>
          <t>IP: 10.0.3.100  ·  Modelo: FortiSwitch 624F  ·  Total Puertos: 24</t>
        </is>
      </c>
      <c r="J4" s="1" t="n"/>
      <c r="K4" s="1" t="n"/>
    </row>
    <row r="5" ht="13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12" customHeight="1">
      <c r="G6" s="46" t="inlineStr">
        <is>
          <t>ESTADÍSTICAS</t>
        </is>
      </c>
    </row>
    <row r="7" ht="18" customHeight="1">
      <c r="B7" s="47" t="inlineStr">
        <is>
          <t>Switch ID</t>
        </is>
      </c>
      <c r="C7" s="48" t="inlineStr">
        <is>
          <t>FSW_624F_IBC_B</t>
        </is>
      </c>
      <c r="D7" s="7" t="n"/>
      <c r="E7" s="8" t="n"/>
    </row>
    <row r="8" ht="18" customHeight="1">
      <c r="B8" s="47" t="inlineStr">
        <is>
          <t>Nombre</t>
        </is>
      </c>
      <c r="C8" s="48" t="inlineStr">
        <is>
          <t>FortiSwitch 624F IBC B</t>
        </is>
      </c>
      <c r="D8" s="7" t="n"/>
      <c r="E8" s="8" t="n"/>
    </row>
    <row r="9" ht="18" customHeight="1">
      <c r="B9" s="47" t="inlineStr">
        <is>
          <t>Modelo</t>
        </is>
      </c>
      <c r="C9" s="48" t="inlineStr">
        <is>
          <t>FortiSwitch 624F</t>
        </is>
      </c>
      <c r="D9" s="7" t="n"/>
      <c r="E9" s="8" t="n"/>
    </row>
    <row r="10" ht="18" customHeight="1">
      <c r="B10" s="47" t="inlineStr">
        <is>
          <t>Ubicación</t>
        </is>
      </c>
      <c r="C10" s="48" t="inlineStr">
        <is>
          <t>IBC — Centro de Control B</t>
        </is>
      </c>
      <c r="D10" s="7" t="n"/>
      <c r="E10" s="8" t="n"/>
    </row>
    <row r="11" ht="18" customHeight="1">
      <c r="B11" s="47" t="inlineStr">
        <is>
          <t>IP Gestión</t>
        </is>
      </c>
      <c r="C11" s="48" t="inlineStr">
        <is>
          <t>10.0.3.100</t>
        </is>
      </c>
      <c r="D11" s="7" t="n"/>
      <c r="E11" s="8" t="n"/>
    </row>
    <row r="12" ht="18" customHeight="1">
      <c r="B12" s="47" t="inlineStr">
        <is>
          <t>SSH Port</t>
        </is>
      </c>
      <c r="C12" s="48" t="inlineStr">
        <is>
          <t>22</t>
        </is>
      </c>
      <c r="D12" s="7" t="n"/>
      <c r="E12" s="8" t="n"/>
    </row>
    <row r="13" ht="18" customHeight="1">
      <c r="B13" s="47" t="inlineStr">
        <is>
          <t>Total Puertos</t>
        </is>
      </c>
      <c r="C13" s="48" t="inlineStr">
        <is>
          <t>24</t>
        </is>
      </c>
      <c r="D13" s="7" t="n"/>
      <c r="E13" s="8" t="n"/>
    </row>
    <row r="15" ht="22" customHeight="1">
      <c r="B15" s="22" t="inlineStr">
        <is>
          <t>Puerto</t>
        </is>
      </c>
      <c r="C15" s="22" t="inlineStr">
        <is>
          <t>Cable</t>
        </is>
      </c>
      <c r="D15" s="22" t="inlineStr">
        <is>
          <t>VLAN</t>
        </is>
      </c>
      <c r="E15" s="22" t="inlineStr">
        <is>
          <t>Estado</t>
        </is>
      </c>
      <c r="F15" s="22" t="inlineStr">
        <is>
          <t>Dispositivo</t>
        </is>
      </c>
      <c r="G15" s="22" t="inlineStr">
        <is>
          <t>Notas</t>
        </is>
      </c>
    </row>
    <row r="16" ht="20" customHeight="1">
      <c r="B16" s="49" t="inlineStr">
        <is>
          <t>P01</t>
        </is>
      </c>
      <c r="C16" s="50" t="inlineStr">
        <is>
          <t>Reservado</t>
        </is>
      </c>
      <c r="D16" s="41" t="inlineStr">
        <is>
          <t>ACCESS POINT</t>
        </is>
      </c>
      <c r="E16" s="58" t="inlineStr">
        <is>
          <t>reservado</t>
        </is>
      </c>
      <c r="F16" s="37" t="inlineStr"/>
      <c r="G16" s="37" t="inlineStr"/>
    </row>
    <row r="17" ht="20" customHeight="1">
      <c r="B17" s="49" t="inlineStr">
        <is>
          <t>P02</t>
        </is>
      </c>
      <c r="C17" s="52" t="inlineStr">
        <is>
          <t>Reservado</t>
        </is>
      </c>
      <c r="D17" s="41" t="inlineStr">
        <is>
          <t>ACCESS POINT</t>
        </is>
      </c>
      <c r="E17" s="58" t="inlineStr">
        <is>
          <t>reservado</t>
        </is>
      </c>
      <c r="F17" s="38" t="inlineStr"/>
      <c r="G17" s="38" t="inlineStr"/>
    </row>
    <row r="18" ht="20" customHeight="1">
      <c r="B18" s="49" t="inlineStr">
        <is>
          <t>P03</t>
        </is>
      </c>
      <c r="C18" s="50" t="inlineStr">
        <is>
          <t>KI08</t>
        </is>
      </c>
      <c r="D18" s="40" t="inlineStr">
        <is>
          <t>GMS2</t>
        </is>
      </c>
      <c r="E18" s="51" t="inlineStr">
        <is>
          <t>activo</t>
        </is>
      </c>
      <c r="F18" s="37" t="inlineStr"/>
      <c r="G18" s="37" t="inlineStr"/>
    </row>
    <row r="19" ht="20" customHeight="1">
      <c r="B19" s="49" t="inlineStr">
        <is>
          <t>P04</t>
        </is>
      </c>
      <c r="C19" s="52" t="inlineStr">
        <is>
          <t>KI09</t>
        </is>
      </c>
      <c r="D19" s="39" t="inlineStr">
        <is>
          <t>GMS</t>
        </is>
      </c>
      <c r="E19" s="51" t="inlineStr">
        <is>
          <t>activo</t>
        </is>
      </c>
      <c r="F19" s="38" t="inlineStr"/>
      <c r="G19" s="38" t="inlineStr"/>
    </row>
    <row r="20" ht="20" customHeight="1">
      <c r="B20" s="49" t="inlineStr">
        <is>
          <t>P05</t>
        </is>
      </c>
      <c r="C20" s="50" t="inlineStr">
        <is>
          <t>KI10</t>
        </is>
      </c>
      <c r="D20" s="39" t="inlineStr">
        <is>
          <t>GMS</t>
        </is>
      </c>
      <c r="E20" s="51" t="inlineStr">
        <is>
          <t>activo</t>
        </is>
      </c>
      <c r="F20" s="37" t="inlineStr"/>
      <c r="G20" s="37" t="inlineStr"/>
    </row>
    <row r="21" ht="20" customHeight="1">
      <c r="B21" s="49" t="inlineStr">
        <is>
          <t>P06</t>
        </is>
      </c>
      <c r="C21" s="52" t="inlineStr">
        <is>
          <t>KI11</t>
        </is>
      </c>
      <c r="D21" s="40" t="inlineStr">
        <is>
          <t>GMS2</t>
        </is>
      </c>
      <c r="E21" s="51" t="inlineStr">
        <is>
          <t>activo</t>
        </is>
      </c>
      <c r="F21" s="38" t="inlineStr"/>
      <c r="G21" s="38" t="inlineStr"/>
    </row>
    <row r="22" ht="20" customHeight="1">
      <c r="B22" s="49" t="inlineStr">
        <is>
          <t>P07</t>
        </is>
      </c>
      <c r="C22" s="50" t="inlineStr">
        <is>
          <t>KI12</t>
        </is>
      </c>
      <c r="D22" s="20" t="inlineStr">
        <is>
          <t>BROADCAST</t>
        </is>
      </c>
      <c r="E22" s="51" t="inlineStr">
        <is>
          <t>activo</t>
        </is>
      </c>
      <c r="F22" s="37" t="inlineStr"/>
      <c r="G22" s="37" t="inlineStr"/>
    </row>
    <row r="23" ht="20" customHeight="1">
      <c r="B23" s="49" t="inlineStr">
        <is>
          <t>P08</t>
        </is>
      </c>
      <c r="C23" s="52" t="inlineStr">
        <is>
          <t>KI13</t>
        </is>
      </c>
      <c r="D23" s="20" t="inlineStr">
        <is>
          <t>BROADCAST</t>
        </is>
      </c>
      <c r="E23" s="51" t="inlineStr">
        <is>
          <t>activo</t>
        </is>
      </c>
      <c r="F23" s="38" t="inlineStr"/>
      <c r="G23" s="38" t="inlineStr"/>
    </row>
    <row r="24" ht="20" customHeight="1">
      <c r="B24" s="49" t="inlineStr">
        <is>
          <t>P09</t>
        </is>
      </c>
      <c r="C24" s="50" t="inlineStr">
        <is>
          <t>KI14</t>
        </is>
      </c>
      <c r="D24" s="39" t="inlineStr">
        <is>
          <t>GMS</t>
        </is>
      </c>
      <c r="E24" s="51" t="inlineStr">
        <is>
          <t>activo</t>
        </is>
      </c>
      <c r="F24" s="37" t="inlineStr"/>
      <c r="G24" s="37" t="inlineStr"/>
    </row>
    <row r="25" ht="20" customHeight="1">
      <c r="B25" s="49" t="inlineStr">
        <is>
          <t>P10</t>
        </is>
      </c>
      <c r="C25" s="52" t="inlineStr">
        <is>
          <t>KI15</t>
        </is>
      </c>
      <c r="D25" s="40" t="inlineStr">
        <is>
          <t>GMS2</t>
        </is>
      </c>
      <c r="E25" s="51" t="inlineStr">
        <is>
          <t>activo</t>
        </is>
      </c>
      <c r="F25" s="38" t="inlineStr"/>
      <c r="G25" s="38" t="inlineStr"/>
    </row>
    <row r="26" ht="20" customHeight="1">
      <c r="B26" s="49" t="inlineStr">
        <is>
          <t>P11</t>
        </is>
      </c>
      <c r="C26" s="50" t="inlineStr">
        <is>
          <t>KI16</t>
        </is>
      </c>
      <c r="D26" s="20" t="inlineStr">
        <is>
          <t>BROADCAST</t>
        </is>
      </c>
      <c r="E26" s="51" t="inlineStr">
        <is>
          <t>activo</t>
        </is>
      </c>
      <c r="F26" s="37" t="inlineStr"/>
      <c r="G26" s="37" t="inlineStr"/>
    </row>
    <row r="27" ht="20" customHeight="1">
      <c r="B27" s="49" t="inlineStr">
        <is>
          <t>P12</t>
        </is>
      </c>
      <c r="C27" s="52" t="inlineStr">
        <is>
          <t>KI17</t>
        </is>
      </c>
      <c r="D27" s="20" t="inlineStr">
        <is>
          <t>BROADCAST</t>
        </is>
      </c>
      <c r="E27" s="51" t="inlineStr">
        <is>
          <t>activo</t>
        </is>
      </c>
      <c r="F27" s="38" t="inlineStr"/>
      <c r="G27" s="38" t="inlineStr"/>
    </row>
    <row r="28" ht="20" customHeight="1">
      <c r="B28" s="49" t="inlineStr">
        <is>
          <t>P13</t>
        </is>
      </c>
      <c r="C28" s="59" t="inlineStr"/>
      <c r="D28" s="43" t="inlineStr">
        <is>
          <t>Sin asignar</t>
        </is>
      </c>
      <c r="E28" s="54" t="inlineStr">
        <is>
          <t>vacio</t>
        </is>
      </c>
      <c r="F28" s="37" t="inlineStr"/>
      <c r="G28" s="37" t="inlineStr"/>
    </row>
    <row r="29" ht="20" customHeight="1">
      <c r="B29" s="49" t="inlineStr">
        <is>
          <t>P14</t>
        </is>
      </c>
      <c r="C29" s="53" t="inlineStr"/>
      <c r="D29" s="43" t="inlineStr">
        <is>
          <t>Sin asignar</t>
        </is>
      </c>
      <c r="E29" s="54" t="inlineStr">
        <is>
          <t>vacio</t>
        </is>
      </c>
      <c r="F29" s="38" t="inlineStr"/>
      <c r="G29" s="38" t="inlineStr"/>
    </row>
    <row r="30" ht="20" customHeight="1">
      <c r="B30" s="49" t="inlineStr">
        <is>
          <t>P15</t>
        </is>
      </c>
      <c r="C30" s="59" t="inlineStr"/>
      <c r="D30" s="43" t="inlineStr">
        <is>
          <t>Sin asignar</t>
        </is>
      </c>
      <c r="E30" s="54" t="inlineStr">
        <is>
          <t>vacio</t>
        </is>
      </c>
      <c r="F30" s="37" t="inlineStr"/>
      <c r="G30" s="37" t="inlineStr"/>
    </row>
    <row r="31" ht="20" customHeight="1">
      <c r="B31" s="49" t="inlineStr">
        <is>
          <t>P16</t>
        </is>
      </c>
      <c r="C31" s="53" t="inlineStr"/>
      <c r="D31" s="43" t="inlineStr">
        <is>
          <t>Sin asignar</t>
        </is>
      </c>
      <c r="E31" s="54" t="inlineStr">
        <is>
          <t>vacio</t>
        </is>
      </c>
      <c r="F31" s="38" t="inlineStr"/>
      <c r="G31" s="38" t="inlineStr"/>
    </row>
    <row r="32" ht="20" customHeight="1">
      <c r="B32" s="49" t="inlineStr">
        <is>
          <t>P17</t>
        </is>
      </c>
      <c r="C32" s="59" t="inlineStr"/>
      <c r="D32" s="43" t="inlineStr">
        <is>
          <t>Sin asignar</t>
        </is>
      </c>
      <c r="E32" s="54" t="inlineStr">
        <is>
          <t>vacio</t>
        </is>
      </c>
      <c r="F32" s="37" t="inlineStr"/>
      <c r="G32" s="37" t="inlineStr"/>
    </row>
    <row r="33" ht="20" customHeight="1">
      <c r="B33" s="49" t="inlineStr">
        <is>
          <t>P18</t>
        </is>
      </c>
      <c r="C33" s="53" t="inlineStr"/>
      <c r="D33" s="43" t="inlineStr">
        <is>
          <t>Sin asignar</t>
        </is>
      </c>
      <c r="E33" s="54" t="inlineStr">
        <is>
          <t>vacio</t>
        </is>
      </c>
      <c r="F33" s="38" t="inlineStr"/>
      <c r="G33" s="38" t="inlineStr"/>
    </row>
    <row r="34" ht="20" customHeight="1">
      <c r="B34" s="49" t="inlineStr">
        <is>
          <t>P19</t>
        </is>
      </c>
      <c r="C34" s="59" t="inlineStr"/>
      <c r="D34" s="43" t="inlineStr">
        <is>
          <t>Sin asignar</t>
        </is>
      </c>
      <c r="E34" s="54" t="inlineStr">
        <is>
          <t>vacio</t>
        </is>
      </c>
      <c r="F34" s="37" t="inlineStr"/>
      <c r="G34" s="37" t="inlineStr"/>
    </row>
    <row r="35" ht="20" customHeight="1">
      <c r="B35" s="49" t="inlineStr">
        <is>
          <t>P20</t>
        </is>
      </c>
      <c r="C35" s="53" t="inlineStr"/>
      <c r="D35" s="43" t="inlineStr">
        <is>
          <t>Sin asignar</t>
        </is>
      </c>
      <c r="E35" s="54" t="inlineStr">
        <is>
          <t>vacio</t>
        </is>
      </c>
      <c r="F35" s="38" t="inlineStr"/>
      <c r="G35" s="38" t="inlineStr"/>
    </row>
    <row r="36" ht="20" customHeight="1">
      <c r="B36" s="49" t="inlineStr">
        <is>
          <t>P21</t>
        </is>
      </c>
      <c r="C36" s="59" t="inlineStr"/>
      <c r="D36" s="43" t="inlineStr">
        <is>
          <t>Sin asignar</t>
        </is>
      </c>
      <c r="E36" s="54" t="inlineStr">
        <is>
          <t>vacio</t>
        </is>
      </c>
      <c r="F36" s="37" t="inlineStr"/>
      <c r="G36" s="37" t="inlineStr"/>
    </row>
    <row r="37" ht="20" customHeight="1">
      <c r="B37" s="49" t="inlineStr">
        <is>
          <t>P22</t>
        </is>
      </c>
      <c r="C37" s="53" t="inlineStr"/>
      <c r="D37" s="43" t="inlineStr">
        <is>
          <t>Sin asignar</t>
        </is>
      </c>
      <c r="E37" s="54" t="inlineStr">
        <is>
          <t>vacio</t>
        </is>
      </c>
      <c r="F37" s="38" t="inlineStr"/>
      <c r="G37" s="38" t="inlineStr"/>
    </row>
    <row r="38" ht="20" customHeight="1">
      <c r="B38" s="49" t="inlineStr">
        <is>
          <t>P23</t>
        </is>
      </c>
      <c r="C38" s="59" t="inlineStr"/>
      <c r="D38" s="43" t="inlineStr">
        <is>
          <t>Sin asignar</t>
        </is>
      </c>
      <c r="E38" s="54" t="inlineStr">
        <is>
          <t>vacio</t>
        </is>
      </c>
      <c r="F38" s="37" t="inlineStr"/>
      <c r="G38" s="37" t="inlineStr"/>
    </row>
    <row r="39" ht="20" customHeight="1">
      <c r="B39" s="49" t="inlineStr">
        <is>
          <t>P24</t>
        </is>
      </c>
      <c r="C39" s="53" t="inlineStr"/>
      <c r="D39" s="43" t="inlineStr">
        <is>
          <t>Sin asignar</t>
        </is>
      </c>
      <c r="E39" s="54" t="inlineStr">
        <is>
          <t>vacio</t>
        </is>
      </c>
      <c r="F39" s="38" t="inlineStr"/>
      <c r="G39" s="38" t="inlineStr"/>
    </row>
    <row r="41" ht="12" customHeight="1"/>
    <row r="42">
      <c r="B42" s="56" t="inlineStr">
        <is>
          <t>RESUMEN AUTOMÁTICO (fórmulas)</t>
        </is>
      </c>
    </row>
    <row r="43" ht="18" customHeight="1">
      <c r="B43" s="57" t="inlineStr">
        <is>
          <t>Total Puertos</t>
        </is>
      </c>
      <c r="C43" s="16">
        <f>COUNTA(B16:B39)</f>
        <v/>
      </c>
      <c r="D43" s="8" t="n"/>
    </row>
    <row r="44" ht="18" customHeight="1">
      <c r="B44" s="57" t="inlineStr">
        <is>
          <t>Activos</t>
        </is>
      </c>
      <c r="C44" s="16">
        <f>COUNTIF(E16:E39,"activo")</f>
        <v/>
      </c>
      <c r="D44" s="8" t="n"/>
    </row>
    <row r="45" ht="18" customHeight="1">
      <c r="B45" s="57" t="inlineStr">
        <is>
          <t>Vacíos</t>
        </is>
      </c>
      <c r="C45" s="16">
        <f>COUNTIF(E16:E39,"vacio")</f>
        <v/>
      </c>
      <c r="D45" s="8" t="n"/>
    </row>
    <row r="46" ht="18" customHeight="1">
      <c r="B46" s="57" t="inlineStr">
        <is>
          <t>Desasignados</t>
        </is>
      </c>
      <c r="C46" s="16">
        <f>COUNTIF(E16:E39,"desasignado")</f>
        <v/>
      </c>
      <c r="D46" s="8" t="n"/>
    </row>
    <row r="47" ht="18" customHeight="1">
      <c r="B47" s="57" t="inlineStr">
        <is>
          <t>Reservados</t>
        </is>
      </c>
      <c r="C47" s="16">
        <f>COUNTIF(E16:E39,"reservado")</f>
        <v/>
      </c>
      <c r="D47" s="8" t="n"/>
    </row>
    <row r="48" ht="18" customHeight="1">
      <c r="B48" s="57" t="inlineStr">
        <is>
          <t>VLANs distintas</t>
        </is>
      </c>
      <c r="C48" s="16">
        <f>SUMPRODUCT(1/COUNTIF(D16:D39,D16:D39))</f>
        <v/>
      </c>
      <c r="D48" s="8" t="n"/>
    </row>
  </sheetData>
  <mergeCells count="17">
    <mergeCell ref="C43:D43"/>
    <mergeCell ref="C11:E11"/>
    <mergeCell ref="B42:G42"/>
    <mergeCell ref="C46:D46"/>
    <mergeCell ref="C13:E13"/>
    <mergeCell ref="C47:D47"/>
    <mergeCell ref="C8:E8"/>
    <mergeCell ref="C9:E9"/>
    <mergeCell ref="B2:I3"/>
    <mergeCell ref="C45:D45"/>
    <mergeCell ref="C44:D44"/>
    <mergeCell ref="G6:H6"/>
    <mergeCell ref="C7:E7"/>
    <mergeCell ref="C48:D48"/>
    <mergeCell ref="C12:E12"/>
    <mergeCell ref="B4:I4"/>
    <mergeCell ref="C10:E10"/>
  </mergeCells>
  <dataValidations count="2">
    <dataValidation sqref="D16 D17 D18 D19 D20 D21 D22 D23 D24 D25 D26 D27 D28 D29 D30 D31 D32 D33 D34 D35 D36 D37 D38 D39" showDropDown="0" showInputMessage="0" showErrorMessage="0" allowBlank="0" type="list">
      <formula1>"BROADCAST,GMS,GMS2,ACCESS POINT,SERVER MONITOREO,Sin asignar,Desasignar"</formula1>
    </dataValidation>
    <dataValidation sqref="E16 E17 E18 E19 E20 E21 E22 E23 E24 E25 E26 E27 E28 E29 E30 E31 E32 E33 E34 E35 E36 E37 E38 E39" showDropDown="0" showInputMessage="0" showErrorMessage="0" allowBlank="0" type="list">
      <formula1>"activo,vacio,desasignado,reservado"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2026-04-07T18:59:46Z</dcterms:created>
  <dcterms:modified xsi:type="dcterms:W3CDTF">2026-04-07T18:59:46Z</dcterms:modified>
</cp:coreProperties>
</file>